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bookViews>
    <workbookView xWindow="0" yWindow="0" windowWidth="9768" windowHeight="10452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" l="1"/>
  <c r="S20" i="1" s="1"/>
  <c r="B301" i="1" l="1"/>
  <c r="L302" i="1" l="1"/>
  <c r="Z22" i="1" s="1"/>
  <c r="F301" i="1"/>
  <c r="L7" i="1" l="1"/>
  <c r="P302" i="1"/>
  <c r="H301" i="1"/>
  <c r="J301" i="1" s="1"/>
  <c r="S11" i="1"/>
  <c r="S12" i="1" s="1"/>
  <c r="S13" i="1"/>
  <c r="S14" i="1" l="1"/>
  <c r="D301" i="1" s="1"/>
  <c r="S10" i="1" l="1"/>
  <c r="G16" i="1"/>
  <c r="R20" i="1" s="1"/>
  <c r="G15" i="1"/>
  <c r="S15" i="1" l="1"/>
  <c r="B302" i="1"/>
  <c r="B298" i="1"/>
  <c r="Q20" i="1"/>
  <c r="Z24" i="1" l="1"/>
  <c r="F302" i="1"/>
  <c r="D302" i="1"/>
  <c r="H302" i="1" l="1"/>
  <c r="J302" i="1" s="1"/>
  <c r="N302" i="1"/>
  <c r="Z23" i="1" l="1"/>
  <c r="L8" i="1"/>
  <c r="R302" i="1"/>
  <c r="L9" i="1" s="1"/>
</calcChain>
</file>

<file path=xl/sharedStrings.xml><?xml version="1.0" encoding="utf-8"?>
<sst xmlns="http://schemas.openxmlformats.org/spreadsheetml/2006/main" count="43" uniqueCount="42">
  <si>
    <t>INPUTS</t>
  </si>
  <si>
    <t>Temperature,T (K)</t>
  </si>
  <si>
    <t xml:space="preserve">Relative Humidity,RH </t>
  </si>
  <si>
    <t>Velocity of droplet,v (m/s)</t>
  </si>
  <si>
    <t>Distance between two persons,L (m)</t>
  </si>
  <si>
    <t>a</t>
  </si>
  <si>
    <t>b</t>
  </si>
  <si>
    <t>g</t>
  </si>
  <si>
    <t>dmin</t>
  </si>
  <si>
    <t xml:space="preserve">Psat </t>
  </si>
  <si>
    <t>Pinfinity</t>
  </si>
  <si>
    <t>Diffusivity,D</t>
  </si>
  <si>
    <t>beta_min</t>
  </si>
  <si>
    <t>beta_max</t>
  </si>
  <si>
    <r>
      <t>Diameter of droplet,d</t>
    </r>
    <r>
      <rPr>
        <sz val="12"/>
        <color theme="1"/>
        <rFont val="Calibri"/>
        <family val="2"/>
      </rPr>
      <t>ₒ (m)</t>
    </r>
  </si>
  <si>
    <r>
      <t>Density of medium,</t>
    </r>
    <r>
      <rPr>
        <sz val="12"/>
        <color theme="1"/>
        <rFont val="Calibri"/>
        <family val="2"/>
      </rPr>
      <t>ρₐ (kg/m^3)</t>
    </r>
  </si>
  <si>
    <t>Density of droplet,ρd (kg/m^3)</t>
  </si>
  <si>
    <t>X-coordinate of droplet (m)</t>
  </si>
  <si>
    <t>Dose of droplet</t>
  </si>
  <si>
    <t>Distance</t>
  </si>
  <si>
    <t>HeightR</t>
  </si>
  <si>
    <t>HeightE</t>
  </si>
  <si>
    <t>Height of droplet emitter,he (ft)</t>
  </si>
  <si>
    <t>Height of droplet reciever,hr (ft)</t>
  </si>
  <si>
    <r>
      <t>Dynamic viscosity of medium,</t>
    </r>
    <r>
      <rPr>
        <sz val="12"/>
        <color theme="1"/>
        <rFont val="Calibri"/>
        <family val="2"/>
      </rPr>
      <t>μ (kg/ms)</t>
    </r>
  </si>
  <si>
    <t>t</t>
  </si>
  <si>
    <t>d</t>
  </si>
  <si>
    <t>beta</t>
  </si>
  <si>
    <t>vz</t>
  </si>
  <si>
    <t>Re</t>
  </si>
  <si>
    <t>CD</t>
  </si>
  <si>
    <t>xd</t>
  </si>
  <si>
    <t>zd</t>
  </si>
  <si>
    <t>sigma</t>
  </si>
  <si>
    <t>dose</t>
  </si>
  <si>
    <t>Specific gas constant,Rv (J/kgK)</t>
  </si>
  <si>
    <t>CONSTANTS USED</t>
  </si>
  <si>
    <t>x</t>
  </si>
  <si>
    <t>z</t>
  </si>
  <si>
    <t>Z-coordinate of droplet (ft)</t>
  </si>
  <si>
    <t>OUTPUT (After 5 Seconds)</t>
  </si>
  <si>
    <t>STUDY OF RESPIRATORY DROPLETS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</si>
</sst>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4" tint="-0.249977111117893"/>
      <name val="Calibri"/>
      <family val="2"/>
      <scheme val="minor"/>
    </font>
    <font>
      <b/>
      <sz val="2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0" fillId="0" borderId="0" xfId="0" applyProtection="1"/>
    <xf numFmtId="0" fontId="0" fillId="0" borderId="0" xfId="0" applyNumberFormat="1"/>
    <xf numFmtId="11" fontId="0" fillId="0" borderId="0" xfId="0" applyNumberFormat="1" applyAlignment="1">
      <alignment horizontal="center"/>
    </xf>
    <xf numFmtId="0" fontId="0" fillId="0" borderId="0" xfId="0" applyAlignment="1"/>
    <xf numFmtId="0" fontId="0" fillId="3" borderId="0" xfId="0" applyFill="1"/>
    <xf numFmtId="0" fontId="0" fillId="3" borderId="0" xfId="0" applyNumberFormat="1" applyFill="1" applyAlignment="1"/>
    <xf numFmtId="0" fontId="0" fillId="3" borderId="0" xfId="0" applyFill="1" applyAlignment="1"/>
    <xf numFmtId="0" fontId="0" fillId="0" borderId="0" xfId="0" applyNumberFormat="1" applyAlignment="1"/>
    <xf numFmtId="11" fontId="0" fillId="0" borderId="0" xfId="0" applyNumberFormat="1"/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3" borderId="0" xfId="0" applyNumberForma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xVal>
            <c:numRef>
              <c:f>Sheet1!$Z$22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Sheet1!$Z$23</c:f>
              <c:numCache>
                <c:formatCode>General</c:formatCode>
                <c:ptCount val="1"/>
                <c:pt idx="0">
                  <c:v>-9.1999999999999998E-3</c:v>
                </c:pt>
              </c:numCache>
            </c:numRef>
          </c:yVal>
          <c:bubbleSize>
            <c:numRef>
              <c:f>Sheet1!$Z$24</c:f>
              <c:numCache>
                <c:formatCode>0.00E+00</c:formatCode>
                <c:ptCount val="1"/>
                <c:pt idx="0">
                  <c:v>0.44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3D5B-4A73-9ACE-F7D87C9B2B28}"/>
            </c:ext>
          </c:extLst>
        </c:ser>
        <c:ser>
          <c:idx val="1"/>
          <c:order val="1"/>
          <c:spPr>
            <a:solidFill>
              <a:schemeClr val="accent2">
                <a:alpha val="75000"/>
              </a:schemeClr>
            </a:solidFill>
            <a:ln w="25400">
              <a:noFill/>
            </a:ln>
            <a:effectLst/>
          </c:spPr>
          <c:invertIfNegative val="0"/>
          <c:xVal>
            <c:numRef>
              <c:f>Sheet1!$Z$27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01-3D5B-4A73-9ACE-F7D87C9B2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axId val="437896176"/>
        <c:axId val="437893040"/>
      </c:bubbleChart>
      <c:valAx>
        <c:axId val="437896176"/>
        <c:scaling>
          <c:orientation val="minMax"/>
          <c:max val="10"/>
          <c:min val="-0.5"/>
        </c:scaling>
        <c:delete val="1"/>
        <c:axPos val="b"/>
        <c:numFmt formatCode="General" sourceLinked="1"/>
        <c:majorTickMark val="none"/>
        <c:minorTickMark val="none"/>
        <c:tickLblPos val="nextTo"/>
        <c:crossAx val="437893040"/>
        <c:crosses val="autoZero"/>
        <c:crossBetween val="midCat"/>
      </c:valAx>
      <c:valAx>
        <c:axId val="437893040"/>
        <c:scaling>
          <c:orientation val="minMax"/>
          <c:max val="1.4000000000000002E-2"/>
          <c:min val="-1.4E-2"/>
        </c:scaling>
        <c:delete val="1"/>
        <c:axPos val="l"/>
        <c:numFmt formatCode="General" sourceLinked="1"/>
        <c:majorTickMark val="none"/>
        <c:minorTickMark val="none"/>
        <c:tickLblPos val="nextTo"/>
        <c:crossAx val="43789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29144088388482E-2"/>
          <c:y val="3.0983187240693235E-2"/>
          <c:w val="0.94311193354275913"/>
          <c:h val="0.8658476784898834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Sheet1!$A$302:$A$1504</c:f>
              <c:numCache>
                <c:formatCode>General</c:formatCode>
                <c:ptCount val="1203"/>
                <c:pt idx="0">
                  <c:v>5.0049999999999155</c:v>
                </c:pt>
                <c:pt idx="1">
                  <c:v>4.9999999999999156</c:v>
                </c:pt>
                <c:pt idx="2">
                  <c:v>4.9949999999999157</c:v>
                </c:pt>
                <c:pt idx="3">
                  <c:v>4.9899999999999158</c:v>
                </c:pt>
                <c:pt idx="4">
                  <c:v>4.9849999999999159</c:v>
                </c:pt>
                <c:pt idx="5">
                  <c:v>4.979999999999916</c:v>
                </c:pt>
                <c:pt idx="6">
                  <c:v>4.9749999999999162</c:v>
                </c:pt>
                <c:pt idx="7">
                  <c:v>4.9699999999999163</c:v>
                </c:pt>
                <c:pt idx="8">
                  <c:v>4.9649999999999164</c:v>
                </c:pt>
                <c:pt idx="9">
                  <c:v>4.9599999999999165</c:v>
                </c:pt>
                <c:pt idx="10">
                  <c:v>4.9549999999999166</c:v>
                </c:pt>
                <c:pt idx="11">
                  <c:v>4.9499999999999167</c:v>
                </c:pt>
                <c:pt idx="12">
                  <c:v>4.9449999999999168</c:v>
                </c:pt>
                <c:pt idx="13">
                  <c:v>4.9399999999999169</c:v>
                </c:pt>
                <c:pt idx="14">
                  <c:v>4.934999999999917</c:v>
                </c:pt>
                <c:pt idx="15">
                  <c:v>4.9299999999999171</c:v>
                </c:pt>
                <c:pt idx="16">
                  <c:v>4.9249999999999172</c:v>
                </c:pt>
                <c:pt idx="17">
                  <c:v>4.9199999999999173</c:v>
                </c:pt>
                <c:pt idx="18">
                  <c:v>4.9149999999999174</c:v>
                </c:pt>
                <c:pt idx="19">
                  <c:v>4.9099999999999175</c:v>
                </c:pt>
                <c:pt idx="20">
                  <c:v>4.9049999999999176</c:v>
                </c:pt>
                <c:pt idx="21">
                  <c:v>4.8999999999999178</c:v>
                </c:pt>
                <c:pt idx="22">
                  <c:v>4.8949999999999179</c:v>
                </c:pt>
                <c:pt idx="23">
                  <c:v>4.889999999999918</c:v>
                </c:pt>
                <c:pt idx="24">
                  <c:v>4.8849999999999181</c:v>
                </c:pt>
                <c:pt idx="25">
                  <c:v>4.8799999999999182</c:v>
                </c:pt>
                <c:pt idx="26">
                  <c:v>4.8749999999999183</c:v>
                </c:pt>
                <c:pt idx="27">
                  <c:v>4.8699999999999184</c:v>
                </c:pt>
                <c:pt idx="28">
                  <c:v>4.8649999999999185</c:v>
                </c:pt>
                <c:pt idx="29">
                  <c:v>4.8599999999999186</c:v>
                </c:pt>
                <c:pt idx="30">
                  <c:v>4.8549999999999187</c:v>
                </c:pt>
                <c:pt idx="31">
                  <c:v>4.8499999999999188</c:v>
                </c:pt>
                <c:pt idx="32">
                  <c:v>4.8449999999999189</c:v>
                </c:pt>
                <c:pt idx="33">
                  <c:v>4.839999999999919</c:v>
                </c:pt>
                <c:pt idx="34">
                  <c:v>4.8349999999999191</c:v>
                </c:pt>
                <c:pt idx="35">
                  <c:v>4.8299999999999192</c:v>
                </c:pt>
                <c:pt idx="36">
                  <c:v>4.8249999999999194</c:v>
                </c:pt>
                <c:pt idx="37">
                  <c:v>4.8199999999999195</c:v>
                </c:pt>
                <c:pt idx="38">
                  <c:v>4.8149999999999196</c:v>
                </c:pt>
                <c:pt idx="39">
                  <c:v>4.8099999999999197</c:v>
                </c:pt>
                <c:pt idx="40">
                  <c:v>4.8049999999999198</c:v>
                </c:pt>
                <c:pt idx="41">
                  <c:v>4.7999999999999199</c:v>
                </c:pt>
                <c:pt idx="42">
                  <c:v>4.79499999999992</c:v>
                </c:pt>
                <c:pt idx="43">
                  <c:v>4.7899999999999201</c:v>
                </c:pt>
                <c:pt idx="44">
                  <c:v>4.7849999999999202</c:v>
                </c:pt>
                <c:pt idx="45">
                  <c:v>4.7799999999999203</c:v>
                </c:pt>
                <c:pt idx="46">
                  <c:v>4.7749999999999204</c:v>
                </c:pt>
                <c:pt idx="47">
                  <c:v>4.7699999999999205</c:v>
                </c:pt>
                <c:pt idx="48">
                  <c:v>4.7649999999999206</c:v>
                </c:pt>
                <c:pt idx="49">
                  <c:v>4.7599999999999207</c:v>
                </c:pt>
                <c:pt idx="50">
                  <c:v>4.7549999999999208</c:v>
                </c:pt>
                <c:pt idx="51">
                  <c:v>4.749999999999921</c:v>
                </c:pt>
                <c:pt idx="52">
                  <c:v>4.7449999999999211</c:v>
                </c:pt>
                <c:pt idx="53">
                  <c:v>4.7399999999999212</c:v>
                </c:pt>
                <c:pt idx="54">
                  <c:v>4.7349999999999213</c:v>
                </c:pt>
                <c:pt idx="55">
                  <c:v>4.7299999999999214</c:v>
                </c:pt>
                <c:pt idx="56">
                  <c:v>4.7249999999999215</c:v>
                </c:pt>
                <c:pt idx="57">
                  <c:v>4.7199999999999216</c:v>
                </c:pt>
                <c:pt idx="58">
                  <c:v>4.7149999999999217</c:v>
                </c:pt>
                <c:pt idx="59">
                  <c:v>4.7099999999999218</c:v>
                </c:pt>
                <c:pt idx="60">
                  <c:v>4.7049999999999219</c:v>
                </c:pt>
                <c:pt idx="61">
                  <c:v>4.699999999999922</c:v>
                </c:pt>
                <c:pt idx="62">
                  <c:v>4.6949999999999221</c:v>
                </c:pt>
                <c:pt idx="63">
                  <c:v>4.6899999999999222</c:v>
                </c:pt>
                <c:pt idx="64">
                  <c:v>4.6849999999999223</c:v>
                </c:pt>
                <c:pt idx="65">
                  <c:v>4.6799999999999224</c:v>
                </c:pt>
                <c:pt idx="66">
                  <c:v>4.6749999999999226</c:v>
                </c:pt>
                <c:pt idx="67">
                  <c:v>4.6699999999999227</c:v>
                </c:pt>
                <c:pt idx="68">
                  <c:v>4.6649999999999228</c:v>
                </c:pt>
                <c:pt idx="69">
                  <c:v>4.6599999999999229</c:v>
                </c:pt>
                <c:pt idx="70">
                  <c:v>4.654999999999923</c:v>
                </c:pt>
                <c:pt idx="71">
                  <c:v>4.6499999999999231</c:v>
                </c:pt>
                <c:pt idx="72">
                  <c:v>4.6449999999999232</c:v>
                </c:pt>
                <c:pt idx="73">
                  <c:v>4.6399999999999233</c:v>
                </c:pt>
                <c:pt idx="74">
                  <c:v>4.6349999999999234</c:v>
                </c:pt>
                <c:pt idx="75">
                  <c:v>4.6299999999999235</c:v>
                </c:pt>
                <c:pt idx="76">
                  <c:v>4.6249999999999236</c:v>
                </c:pt>
                <c:pt idx="77">
                  <c:v>4.6199999999999237</c:v>
                </c:pt>
                <c:pt idx="78">
                  <c:v>4.6149999999999238</c:v>
                </c:pt>
                <c:pt idx="79">
                  <c:v>4.6099999999999239</c:v>
                </c:pt>
                <c:pt idx="80">
                  <c:v>4.604999999999924</c:v>
                </c:pt>
                <c:pt idx="81">
                  <c:v>4.5999999999999241</c:v>
                </c:pt>
                <c:pt idx="82">
                  <c:v>4.5949999999999243</c:v>
                </c:pt>
                <c:pt idx="83">
                  <c:v>4.5899999999999244</c:v>
                </c:pt>
                <c:pt idx="84">
                  <c:v>4.5849999999999245</c:v>
                </c:pt>
                <c:pt idx="85">
                  <c:v>4.5799999999999246</c:v>
                </c:pt>
                <c:pt idx="86">
                  <c:v>4.5749999999999247</c:v>
                </c:pt>
                <c:pt idx="87">
                  <c:v>4.5699999999999248</c:v>
                </c:pt>
                <c:pt idx="88">
                  <c:v>4.5649999999999249</c:v>
                </c:pt>
                <c:pt idx="89">
                  <c:v>4.559999999999925</c:v>
                </c:pt>
                <c:pt idx="90">
                  <c:v>4.5549999999999251</c:v>
                </c:pt>
                <c:pt idx="91">
                  <c:v>4.5499999999999252</c:v>
                </c:pt>
                <c:pt idx="92">
                  <c:v>4.5449999999999253</c:v>
                </c:pt>
                <c:pt idx="93">
                  <c:v>4.5399999999999254</c:v>
                </c:pt>
                <c:pt idx="94">
                  <c:v>4.5349999999999255</c:v>
                </c:pt>
                <c:pt idx="95">
                  <c:v>4.5299999999999256</c:v>
                </c:pt>
                <c:pt idx="96">
                  <c:v>4.5249999999999257</c:v>
                </c:pt>
                <c:pt idx="97">
                  <c:v>4.5199999999999259</c:v>
                </c:pt>
                <c:pt idx="98">
                  <c:v>4.514999999999926</c:v>
                </c:pt>
                <c:pt idx="99">
                  <c:v>4.5099999999999261</c:v>
                </c:pt>
                <c:pt idx="100">
                  <c:v>4.5049999999999262</c:v>
                </c:pt>
                <c:pt idx="101">
                  <c:v>4.4999999999999263</c:v>
                </c:pt>
                <c:pt idx="102">
                  <c:v>4.4949999999999264</c:v>
                </c:pt>
                <c:pt idx="103">
                  <c:v>4.4899999999999265</c:v>
                </c:pt>
                <c:pt idx="104">
                  <c:v>4.4849999999999266</c:v>
                </c:pt>
                <c:pt idx="105">
                  <c:v>4.4799999999999267</c:v>
                </c:pt>
                <c:pt idx="106">
                  <c:v>4.4749999999999268</c:v>
                </c:pt>
                <c:pt idx="107">
                  <c:v>4.4699999999999269</c:v>
                </c:pt>
                <c:pt idx="108">
                  <c:v>4.464999999999927</c:v>
                </c:pt>
                <c:pt idx="109">
                  <c:v>4.4599999999999271</c:v>
                </c:pt>
                <c:pt idx="110">
                  <c:v>4.4549999999999272</c:v>
                </c:pt>
                <c:pt idx="111">
                  <c:v>4.4499999999999273</c:v>
                </c:pt>
                <c:pt idx="112">
                  <c:v>4.4449999999999275</c:v>
                </c:pt>
                <c:pt idx="113">
                  <c:v>4.4399999999999276</c:v>
                </c:pt>
                <c:pt idx="114">
                  <c:v>4.4349999999999277</c:v>
                </c:pt>
                <c:pt idx="115">
                  <c:v>4.4299999999999278</c:v>
                </c:pt>
                <c:pt idx="116">
                  <c:v>4.4249999999999279</c:v>
                </c:pt>
                <c:pt idx="117">
                  <c:v>4.419999999999928</c:v>
                </c:pt>
                <c:pt idx="118">
                  <c:v>4.4149999999999281</c:v>
                </c:pt>
                <c:pt idx="119">
                  <c:v>4.4099999999999282</c:v>
                </c:pt>
                <c:pt idx="120">
                  <c:v>4.4049999999999283</c:v>
                </c:pt>
                <c:pt idx="121">
                  <c:v>4.3999999999999284</c:v>
                </c:pt>
                <c:pt idx="122">
                  <c:v>4.3949999999999285</c:v>
                </c:pt>
                <c:pt idx="123">
                  <c:v>4.3899999999999286</c:v>
                </c:pt>
                <c:pt idx="124">
                  <c:v>4.3849999999999287</c:v>
                </c:pt>
                <c:pt idx="125">
                  <c:v>4.3799999999999288</c:v>
                </c:pt>
                <c:pt idx="126">
                  <c:v>4.3749999999999289</c:v>
                </c:pt>
                <c:pt idx="127">
                  <c:v>4.3699999999999291</c:v>
                </c:pt>
                <c:pt idx="128">
                  <c:v>4.3649999999999292</c:v>
                </c:pt>
                <c:pt idx="129">
                  <c:v>4.3599999999999293</c:v>
                </c:pt>
                <c:pt idx="130">
                  <c:v>4.3549999999999294</c:v>
                </c:pt>
                <c:pt idx="131">
                  <c:v>4.3499999999999295</c:v>
                </c:pt>
                <c:pt idx="132">
                  <c:v>4.3449999999999296</c:v>
                </c:pt>
                <c:pt idx="133">
                  <c:v>4.3399999999999297</c:v>
                </c:pt>
                <c:pt idx="134">
                  <c:v>4.3349999999999298</c:v>
                </c:pt>
                <c:pt idx="135">
                  <c:v>4.3299999999999299</c:v>
                </c:pt>
                <c:pt idx="136">
                  <c:v>4.32499999999993</c:v>
                </c:pt>
                <c:pt idx="137">
                  <c:v>4.3199999999999301</c:v>
                </c:pt>
                <c:pt idx="138">
                  <c:v>4.3149999999999302</c:v>
                </c:pt>
                <c:pt idx="139">
                  <c:v>4.3099999999999303</c:v>
                </c:pt>
                <c:pt idx="140">
                  <c:v>4.3049999999999304</c:v>
                </c:pt>
                <c:pt idx="141">
                  <c:v>4.2999999999999305</c:v>
                </c:pt>
                <c:pt idx="142">
                  <c:v>4.2949999999999307</c:v>
                </c:pt>
                <c:pt idx="143">
                  <c:v>4.2899999999999308</c:v>
                </c:pt>
                <c:pt idx="144">
                  <c:v>4.2849999999999309</c:v>
                </c:pt>
                <c:pt idx="145">
                  <c:v>4.279999999999931</c:v>
                </c:pt>
                <c:pt idx="146">
                  <c:v>4.2749999999999311</c:v>
                </c:pt>
                <c:pt idx="147">
                  <c:v>4.2699999999999312</c:v>
                </c:pt>
                <c:pt idx="148">
                  <c:v>4.2649999999999313</c:v>
                </c:pt>
                <c:pt idx="149">
                  <c:v>4.2599999999999314</c:v>
                </c:pt>
                <c:pt idx="150">
                  <c:v>4.2549999999999315</c:v>
                </c:pt>
                <c:pt idx="151">
                  <c:v>4.2499999999999316</c:v>
                </c:pt>
                <c:pt idx="152">
                  <c:v>4.2449999999999317</c:v>
                </c:pt>
                <c:pt idx="153">
                  <c:v>4.2399999999999318</c:v>
                </c:pt>
                <c:pt idx="154">
                  <c:v>4.2349999999999319</c:v>
                </c:pt>
                <c:pt idx="155">
                  <c:v>4.229999999999932</c:v>
                </c:pt>
                <c:pt idx="156">
                  <c:v>4.2249999999999321</c:v>
                </c:pt>
                <c:pt idx="157">
                  <c:v>4.2199999999999322</c:v>
                </c:pt>
                <c:pt idx="158">
                  <c:v>4.2149999999999324</c:v>
                </c:pt>
                <c:pt idx="159">
                  <c:v>4.2099999999999325</c:v>
                </c:pt>
                <c:pt idx="160">
                  <c:v>4.2049999999999326</c:v>
                </c:pt>
                <c:pt idx="161">
                  <c:v>4.1999999999999327</c:v>
                </c:pt>
                <c:pt idx="162">
                  <c:v>4.1949999999999328</c:v>
                </c:pt>
                <c:pt idx="163">
                  <c:v>4.1899999999999329</c:v>
                </c:pt>
                <c:pt idx="164">
                  <c:v>4.184999999999933</c:v>
                </c:pt>
                <c:pt idx="165">
                  <c:v>4.1799999999999331</c:v>
                </c:pt>
                <c:pt idx="166">
                  <c:v>4.1749999999999332</c:v>
                </c:pt>
                <c:pt idx="167">
                  <c:v>4.1699999999999333</c:v>
                </c:pt>
                <c:pt idx="168">
                  <c:v>4.1649999999999334</c:v>
                </c:pt>
                <c:pt idx="169">
                  <c:v>4.1599999999999335</c:v>
                </c:pt>
                <c:pt idx="170">
                  <c:v>4.1549999999999336</c:v>
                </c:pt>
                <c:pt idx="171">
                  <c:v>4.1499999999999337</c:v>
                </c:pt>
                <c:pt idx="172">
                  <c:v>4.1449999999999338</c:v>
                </c:pt>
                <c:pt idx="173">
                  <c:v>4.139999999999934</c:v>
                </c:pt>
                <c:pt idx="174">
                  <c:v>4.1349999999999341</c:v>
                </c:pt>
                <c:pt idx="175">
                  <c:v>4.1299999999999342</c:v>
                </c:pt>
                <c:pt idx="176">
                  <c:v>4.1249999999999343</c:v>
                </c:pt>
                <c:pt idx="177">
                  <c:v>4.1199999999999344</c:v>
                </c:pt>
                <c:pt idx="178">
                  <c:v>4.1149999999999345</c:v>
                </c:pt>
                <c:pt idx="179">
                  <c:v>4.1099999999999346</c:v>
                </c:pt>
                <c:pt idx="180">
                  <c:v>4.1049999999999347</c:v>
                </c:pt>
                <c:pt idx="181">
                  <c:v>4.0999999999999348</c:v>
                </c:pt>
                <c:pt idx="182">
                  <c:v>4.0949999999999349</c:v>
                </c:pt>
                <c:pt idx="183">
                  <c:v>4.089999999999935</c:v>
                </c:pt>
                <c:pt idx="184">
                  <c:v>4.0849999999999351</c:v>
                </c:pt>
                <c:pt idx="185">
                  <c:v>4.0799999999999352</c:v>
                </c:pt>
                <c:pt idx="186">
                  <c:v>4.0749999999999353</c:v>
                </c:pt>
                <c:pt idx="187">
                  <c:v>4.0699999999999354</c:v>
                </c:pt>
                <c:pt idx="188">
                  <c:v>4.0649999999999356</c:v>
                </c:pt>
                <c:pt idx="189">
                  <c:v>4.0599999999999357</c:v>
                </c:pt>
                <c:pt idx="190">
                  <c:v>4.0549999999999358</c:v>
                </c:pt>
                <c:pt idx="191">
                  <c:v>4.0499999999999359</c:v>
                </c:pt>
                <c:pt idx="192">
                  <c:v>4.044999999999936</c:v>
                </c:pt>
                <c:pt idx="193">
                  <c:v>4.0399999999999361</c:v>
                </c:pt>
                <c:pt idx="194">
                  <c:v>4.0349999999999362</c:v>
                </c:pt>
                <c:pt idx="195">
                  <c:v>4.0299999999999363</c:v>
                </c:pt>
                <c:pt idx="196">
                  <c:v>4.0249999999999364</c:v>
                </c:pt>
                <c:pt idx="197">
                  <c:v>4.0199999999999365</c:v>
                </c:pt>
                <c:pt idx="198">
                  <c:v>4.0149999999999366</c:v>
                </c:pt>
                <c:pt idx="199">
                  <c:v>4.0099999999999367</c:v>
                </c:pt>
                <c:pt idx="200">
                  <c:v>4.0049999999999368</c:v>
                </c:pt>
                <c:pt idx="201">
                  <c:v>3.9999999999999369</c:v>
                </c:pt>
                <c:pt idx="202">
                  <c:v>3.994999999999937</c:v>
                </c:pt>
                <c:pt idx="203">
                  <c:v>3.9899999999999372</c:v>
                </c:pt>
                <c:pt idx="204">
                  <c:v>3.9849999999999373</c:v>
                </c:pt>
                <c:pt idx="205">
                  <c:v>3.9799999999999374</c:v>
                </c:pt>
                <c:pt idx="206">
                  <c:v>3.9749999999999375</c:v>
                </c:pt>
                <c:pt idx="207">
                  <c:v>3.9699999999999376</c:v>
                </c:pt>
                <c:pt idx="208">
                  <c:v>3.9649999999999377</c:v>
                </c:pt>
                <c:pt idx="209">
                  <c:v>3.9599999999999378</c:v>
                </c:pt>
                <c:pt idx="210">
                  <c:v>3.9549999999999379</c:v>
                </c:pt>
                <c:pt idx="211">
                  <c:v>3.949999999999938</c:v>
                </c:pt>
                <c:pt idx="212">
                  <c:v>3.9449999999999381</c:v>
                </c:pt>
                <c:pt idx="213">
                  <c:v>3.9399999999999382</c:v>
                </c:pt>
                <c:pt idx="214">
                  <c:v>3.9349999999999383</c:v>
                </c:pt>
                <c:pt idx="215">
                  <c:v>3.9299999999999384</c:v>
                </c:pt>
                <c:pt idx="216">
                  <c:v>3.9249999999999385</c:v>
                </c:pt>
                <c:pt idx="217">
                  <c:v>3.9199999999999386</c:v>
                </c:pt>
                <c:pt idx="218">
                  <c:v>3.9149999999999388</c:v>
                </c:pt>
                <c:pt idx="219">
                  <c:v>3.9099999999999389</c:v>
                </c:pt>
                <c:pt idx="220">
                  <c:v>3.904999999999939</c:v>
                </c:pt>
                <c:pt idx="221">
                  <c:v>3.8999999999999391</c:v>
                </c:pt>
                <c:pt idx="222">
                  <c:v>3.8949999999999392</c:v>
                </c:pt>
                <c:pt idx="223">
                  <c:v>3.8899999999999393</c:v>
                </c:pt>
                <c:pt idx="224">
                  <c:v>3.8849999999999394</c:v>
                </c:pt>
                <c:pt idx="225">
                  <c:v>3.8799999999999395</c:v>
                </c:pt>
                <c:pt idx="226">
                  <c:v>3.8749999999999396</c:v>
                </c:pt>
                <c:pt idx="227">
                  <c:v>3.8699999999999397</c:v>
                </c:pt>
                <c:pt idx="228">
                  <c:v>3.8649999999999398</c:v>
                </c:pt>
                <c:pt idx="229">
                  <c:v>3.8599999999999399</c:v>
                </c:pt>
                <c:pt idx="230">
                  <c:v>3.85499999999994</c:v>
                </c:pt>
                <c:pt idx="231">
                  <c:v>3.8499999999999401</c:v>
                </c:pt>
                <c:pt idx="232">
                  <c:v>3.8449999999999402</c:v>
                </c:pt>
                <c:pt idx="233">
                  <c:v>3.8399999999999403</c:v>
                </c:pt>
                <c:pt idx="234">
                  <c:v>3.8349999999999405</c:v>
                </c:pt>
                <c:pt idx="235">
                  <c:v>3.8299999999999406</c:v>
                </c:pt>
                <c:pt idx="236">
                  <c:v>3.8249999999999407</c:v>
                </c:pt>
                <c:pt idx="237">
                  <c:v>3.8199999999999408</c:v>
                </c:pt>
                <c:pt idx="238">
                  <c:v>3.8149999999999409</c:v>
                </c:pt>
                <c:pt idx="239">
                  <c:v>3.809999999999941</c:v>
                </c:pt>
                <c:pt idx="240">
                  <c:v>3.8049999999999411</c:v>
                </c:pt>
                <c:pt idx="241">
                  <c:v>3.7999999999999412</c:v>
                </c:pt>
                <c:pt idx="242">
                  <c:v>3.7949999999999413</c:v>
                </c:pt>
                <c:pt idx="243">
                  <c:v>3.7899999999999414</c:v>
                </c:pt>
                <c:pt idx="244">
                  <c:v>3.7849999999999415</c:v>
                </c:pt>
                <c:pt idx="245">
                  <c:v>3.7799999999999416</c:v>
                </c:pt>
                <c:pt idx="246">
                  <c:v>3.7749999999999417</c:v>
                </c:pt>
                <c:pt idx="247">
                  <c:v>3.7699999999999418</c:v>
                </c:pt>
                <c:pt idx="248">
                  <c:v>3.7649999999999419</c:v>
                </c:pt>
                <c:pt idx="249">
                  <c:v>3.7599999999999421</c:v>
                </c:pt>
                <c:pt idx="250">
                  <c:v>3.7549999999999422</c:v>
                </c:pt>
                <c:pt idx="251">
                  <c:v>3.7499999999999423</c:v>
                </c:pt>
                <c:pt idx="252">
                  <c:v>3.7449999999999424</c:v>
                </c:pt>
                <c:pt idx="253">
                  <c:v>3.7399999999999425</c:v>
                </c:pt>
                <c:pt idx="254">
                  <c:v>3.7349999999999426</c:v>
                </c:pt>
                <c:pt idx="255">
                  <c:v>3.7299999999999427</c:v>
                </c:pt>
                <c:pt idx="256">
                  <c:v>3.7249999999999428</c:v>
                </c:pt>
                <c:pt idx="257">
                  <c:v>3.7199999999999429</c:v>
                </c:pt>
                <c:pt idx="258">
                  <c:v>3.714999999999943</c:v>
                </c:pt>
                <c:pt idx="259">
                  <c:v>3.7099999999999431</c:v>
                </c:pt>
                <c:pt idx="260">
                  <c:v>3.7049999999999432</c:v>
                </c:pt>
                <c:pt idx="261">
                  <c:v>3.6999999999999433</c:v>
                </c:pt>
                <c:pt idx="262">
                  <c:v>3.6949999999999434</c:v>
                </c:pt>
                <c:pt idx="263">
                  <c:v>3.6899999999999435</c:v>
                </c:pt>
                <c:pt idx="264">
                  <c:v>3.6849999999999437</c:v>
                </c:pt>
                <c:pt idx="265">
                  <c:v>3.6799999999999438</c:v>
                </c:pt>
                <c:pt idx="266">
                  <c:v>3.6749999999999439</c:v>
                </c:pt>
                <c:pt idx="267">
                  <c:v>3.669999999999944</c:v>
                </c:pt>
                <c:pt idx="268">
                  <c:v>3.6649999999999441</c:v>
                </c:pt>
                <c:pt idx="269">
                  <c:v>3.6599999999999442</c:v>
                </c:pt>
                <c:pt idx="270">
                  <c:v>3.6549999999999443</c:v>
                </c:pt>
                <c:pt idx="271">
                  <c:v>3.6499999999999444</c:v>
                </c:pt>
                <c:pt idx="272">
                  <c:v>3.6449999999999445</c:v>
                </c:pt>
                <c:pt idx="273">
                  <c:v>3.6399999999999446</c:v>
                </c:pt>
                <c:pt idx="274">
                  <c:v>3.6349999999999447</c:v>
                </c:pt>
                <c:pt idx="275">
                  <c:v>3.6299999999999448</c:v>
                </c:pt>
                <c:pt idx="276">
                  <c:v>3.6249999999999449</c:v>
                </c:pt>
                <c:pt idx="277">
                  <c:v>3.619999999999945</c:v>
                </c:pt>
                <c:pt idx="278">
                  <c:v>3.6149999999999451</c:v>
                </c:pt>
                <c:pt idx="279">
                  <c:v>3.6099999999999453</c:v>
                </c:pt>
                <c:pt idx="280">
                  <c:v>3.6049999999999454</c:v>
                </c:pt>
                <c:pt idx="281">
                  <c:v>3.5999999999999455</c:v>
                </c:pt>
                <c:pt idx="282">
                  <c:v>3.5949999999999456</c:v>
                </c:pt>
                <c:pt idx="283">
                  <c:v>3.5899999999999457</c:v>
                </c:pt>
                <c:pt idx="284">
                  <c:v>3.5849999999999458</c:v>
                </c:pt>
                <c:pt idx="285">
                  <c:v>3.5799999999999459</c:v>
                </c:pt>
                <c:pt idx="286">
                  <c:v>3.574999999999946</c:v>
                </c:pt>
                <c:pt idx="287">
                  <c:v>3.5699999999999461</c:v>
                </c:pt>
                <c:pt idx="288">
                  <c:v>3.5649999999999462</c:v>
                </c:pt>
                <c:pt idx="289">
                  <c:v>3.5599999999999463</c:v>
                </c:pt>
                <c:pt idx="290">
                  <c:v>3.5549999999999464</c:v>
                </c:pt>
                <c:pt idx="291">
                  <c:v>3.5499999999999465</c:v>
                </c:pt>
                <c:pt idx="292">
                  <c:v>3.5449999999999466</c:v>
                </c:pt>
                <c:pt idx="293">
                  <c:v>3.5399999999999467</c:v>
                </c:pt>
                <c:pt idx="294">
                  <c:v>3.5349999999999469</c:v>
                </c:pt>
                <c:pt idx="295">
                  <c:v>3.529999999999947</c:v>
                </c:pt>
                <c:pt idx="296">
                  <c:v>3.5249999999999471</c:v>
                </c:pt>
                <c:pt idx="297">
                  <c:v>3.5199999999999472</c:v>
                </c:pt>
                <c:pt idx="298">
                  <c:v>3.5149999999999473</c:v>
                </c:pt>
                <c:pt idx="299">
                  <c:v>3.5099999999999474</c:v>
                </c:pt>
                <c:pt idx="300">
                  <c:v>3.5049999999999475</c:v>
                </c:pt>
                <c:pt idx="301">
                  <c:v>3.4999999999999476</c:v>
                </c:pt>
                <c:pt idx="302">
                  <c:v>3.4949999999999477</c:v>
                </c:pt>
                <c:pt idx="303">
                  <c:v>3.4899999999999478</c:v>
                </c:pt>
                <c:pt idx="304">
                  <c:v>3.4849999999999479</c:v>
                </c:pt>
                <c:pt idx="305">
                  <c:v>3.479999999999948</c:v>
                </c:pt>
                <c:pt idx="306">
                  <c:v>3.4749999999999481</c:v>
                </c:pt>
                <c:pt idx="307">
                  <c:v>3.4699999999999482</c:v>
                </c:pt>
                <c:pt idx="308">
                  <c:v>3.4649999999999483</c:v>
                </c:pt>
                <c:pt idx="309">
                  <c:v>3.4599999999999485</c:v>
                </c:pt>
                <c:pt idx="310">
                  <c:v>3.4549999999999486</c:v>
                </c:pt>
                <c:pt idx="311">
                  <c:v>3.4499999999999487</c:v>
                </c:pt>
                <c:pt idx="312">
                  <c:v>3.4449999999999488</c:v>
                </c:pt>
                <c:pt idx="313">
                  <c:v>3.4399999999999489</c:v>
                </c:pt>
                <c:pt idx="314">
                  <c:v>3.434999999999949</c:v>
                </c:pt>
                <c:pt idx="315">
                  <c:v>3.4299999999999491</c:v>
                </c:pt>
                <c:pt idx="316">
                  <c:v>3.4249999999999492</c:v>
                </c:pt>
                <c:pt idx="317">
                  <c:v>3.4199999999999493</c:v>
                </c:pt>
                <c:pt idx="318">
                  <c:v>3.4149999999999494</c:v>
                </c:pt>
                <c:pt idx="319">
                  <c:v>3.4099999999999495</c:v>
                </c:pt>
                <c:pt idx="320">
                  <c:v>3.4049999999999496</c:v>
                </c:pt>
                <c:pt idx="321">
                  <c:v>3.3999999999999497</c:v>
                </c:pt>
                <c:pt idx="322">
                  <c:v>3.3949999999999498</c:v>
                </c:pt>
                <c:pt idx="323">
                  <c:v>3.3899999999999499</c:v>
                </c:pt>
                <c:pt idx="324">
                  <c:v>3.38499999999995</c:v>
                </c:pt>
                <c:pt idx="325">
                  <c:v>3.3799999999999502</c:v>
                </c:pt>
                <c:pt idx="326">
                  <c:v>3.3749999999999503</c:v>
                </c:pt>
                <c:pt idx="327">
                  <c:v>3.3699999999999504</c:v>
                </c:pt>
                <c:pt idx="328">
                  <c:v>3.3649999999999505</c:v>
                </c:pt>
                <c:pt idx="329">
                  <c:v>3.3599999999999506</c:v>
                </c:pt>
                <c:pt idx="330">
                  <c:v>3.3549999999999507</c:v>
                </c:pt>
                <c:pt idx="331">
                  <c:v>3.3499999999999508</c:v>
                </c:pt>
                <c:pt idx="332">
                  <c:v>3.3449999999999509</c:v>
                </c:pt>
                <c:pt idx="333">
                  <c:v>3.339999999999951</c:v>
                </c:pt>
                <c:pt idx="334">
                  <c:v>3.3349999999999511</c:v>
                </c:pt>
                <c:pt idx="335">
                  <c:v>3.3299999999999512</c:v>
                </c:pt>
                <c:pt idx="336">
                  <c:v>3.3249999999999513</c:v>
                </c:pt>
                <c:pt idx="337">
                  <c:v>3.3199999999999514</c:v>
                </c:pt>
                <c:pt idx="338">
                  <c:v>3.3149999999999515</c:v>
                </c:pt>
                <c:pt idx="339">
                  <c:v>3.3099999999999516</c:v>
                </c:pt>
                <c:pt idx="340">
                  <c:v>3.3049999999999518</c:v>
                </c:pt>
                <c:pt idx="341">
                  <c:v>3.2999999999999519</c:v>
                </c:pt>
                <c:pt idx="342">
                  <c:v>3.294999999999952</c:v>
                </c:pt>
                <c:pt idx="343">
                  <c:v>3.2899999999999521</c:v>
                </c:pt>
                <c:pt idx="344">
                  <c:v>3.2849999999999522</c:v>
                </c:pt>
                <c:pt idx="345">
                  <c:v>3.2799999999999523</c:v>
                </c:pt>
                <c:pt idx="346">
                  <c:v>3.2749999999999524</c:v>
                </c:pt>
                <c:pt idx="347">
                  <c:v>3.2699999999999525</c:v>
                </c:pt>
                <c:pt idx="348">
                  <c:v>3.2649999999999526</c:v>
                </c:pt>
                <c:pt idx="349">
                  <c:v>3.2599999999999527</c:v>
                </c:pt>
                <c:pt idx="350">
                  <c:v>3.2549999999999528</c:v>
                </c:pt>
                <c:pt idx="351">
                  <c:v>3.2499999999999529</c:v>
                </c:pt>
                <c:pt idx="352">
                  <c:v>3.244999999999953</c:v>
                </c:pt>
                <c:pt idx="353">
                  <c:v>3.2399999999999531</c:v>
                </c:pt>
                <c:pt idx="354">
                  <c:v>3.2349999999999532</c:v>
                </c:pt>
                <c:pt idx="355">
                  <c:v>3.2299999999999534</c:v>
                </c:pt>
                <c:pt idx="356">
                  <c:v>3.2249999999999535</c:v>
                </c:pt>
                <c:pt idx="357">
                  <c:v>3.2199999999999536</c:v>
                </c:pt>
                <c:pt idx="358">
                  <c:v>3.2149999999999537</c:v>
                </c:pt>
                <c:pt idx="359">
                  <c:v>3.2099999999999538</c:v>
                </c:pt>
                <c:pt idx="360">
                  <c:v>3.2049999999999539</c:v>
                </c:pt>
                <c:pt idx="361">
                  <c:v>3.199999999999954</c:v>
                </c:pt>
                <c:pt idx="362">
                  <c:v>3.1949999999999541</c:v>
                </c:pt>
                <c:pt idx="363">
                  <c:v>3.1899999999999542</c:v>
                </c:pt>
                <c:pt idx="364">
                  <c:v>3.1849999999999543</c:v>
                </c:pt>
                <c:pt idx="365">
                  <c:v>3.1799999999999544</c:v>
                </c:pt>
                <c:pt idx="366">
                  <c:v>3.1749999999999545</c:v>
                </c:pt>
                <c:pt idx="367">
                  <c:v>3.1699999999999546</c:v>
                </c:pt>
                <c:pt idx="368">
                  <c:v>3.1649999999999547</c:v>
                </c:pt>
                <c:pt idx="369">
                  <c:v>3.1599999999999548</c:v>
                </c:pt>
                <c:pt idx="370">
                  <c:v>3.154999999999955</c:v>
                </c:pt>
                <c:pt idx="371">
                  <c:v>3.1499999999999551</c:v>
                </c:pt>
                <c:pt idx="372">
                  <c:v>3.1449999999999552</c:v>
                </c:pt>
                <c:pt idx="373">
                  <c:v>3.1399999999999553</c:v>
                </c:pt>
                <c:pt idx="374">
                  <c:v>3.1349999999999554</c:v>
                </c:pt>
                <c:pt idx="375">
                  <c:v>3.1299999999999555</c:v>
                </c:pt>
                <c:pt idx="376">
                  <c:v>3.1249999999999556</c:v>
                </c:pt>
                <c:pt idx="377">
                  <c:v>3.1199999999999557</c:v>
                </c:pt>
                <c:pt idx="378">
                  <c:v>3.1149999999999558</c:v>
                </c:pt>
                <c:pt idx="379">
                  <c:v>3.1099999999999559</c:v>
                </c:pt>
                <c:pt idx="380">
                  <c:v>3.104999999999956</c:v>
                </c:pt>
                <c:pt idx="381">
                  <c:v>3.0999999999999561</c:v>
                </c:pt>
                <c:pt idx="382">
                  <c:v>3.0949999999999562</c:v>
                </c:pt>
                <c:pt idx="383">
                  <c:v>3.0899999999999563</c:v>
                </c:pt>
                <c:pt idx="384">
                  <c:v>3.0849999999999564</c:v>
                </c:pt>
                <c:pt idx="385">
                  <c:v>3.0799999999999566</c:v>
                </c:pt>
                <c:pt idx="386">
                  <c:v>3.0749999999999567</c:v>
                </c:pt>
                <c:pt idx="387">
                  <c:v>3.0699999999999568</c:v>
                </c:pt>
                <c:pt idx="388">
                  <c:v>3.0649999999999569</c:v>
                </c:pt>
                <c:pt idx="389">
                  <c:v>3.059999999999957</c:v>
                </c:pt>
                <c:pt idx="390">
                  <c:v>3.0549999999999571</c:v>
                </c:pt>
                <c:pt idx="391">
                  <c:v>3.0499999999999572</c:v>
                </c:pt>
                <c:pt idx="392">
                  <c:v>3.0449999999999573</c:v>
                </c:pt>
                <c:pt idx="393">
                  <c:v>3.0399999999999574</c:v>
                </c:pt>
                <c:pt idx="394">
                  <c:v>3.0349999999999575</c:v>
                </c:pt>
                <c:pt idx="395">
                  <c:v>3.0299999999999576</c:v>
                </c:pt>
                <c:pt idx="396">
                  <c:v>3.0249999999999577</c:v>
                </c:pt>
                <c:pt idx="397">
                  <c:v>3.0199999999999578</c:v>
                </c:pt>
                <c:pt idx="398">
                  <c:v>3.0149999999999579</c:v>
                </c:pt>
                <c:pt idx="399">
                  <c:v>3.009999999999958</c:v>
                </c:pt>
                <c:pt idx="400">
                  <c:v>3.0049999999999581</c:v>
                </c:pt>
                <c:pt idx="401">
                  <c:v>2.9999999999999583</c:v>
                </c:pt>
                <c:pt idx="402">
                  <c:v>2.9949999999999584</c:v>
                </c:pt>
                <c:pt idx="403">
                  <c:v>2.9899999999999585</c:v>
                </c:pt>
                <c:pt idx="404">
                  <c:v>2.9849999999999586</c:v>
                </c:pt>
                <c:pt idx="405">
                  <c:v>2.9799999999999587</c:v>
                </c:pt>
                <c:pt idx="406">
                  <c:v>2.9749999999999588</c:v>
                </c:pt>
                <c:pt idx="407">
                  <c:v>2.9699999999999589</c:v>
                </c:pt>
                <c:pt idx="408">
                  <c:v>2.964999999999959</c:v>
                </c:pt>
                <c:pt idx="409">
                  <c:v>2.9599999999999591</c:v>
                </c:pt>
                <c:pt idx="410">
                  <c:v>2.9549999999999592</c:v>
                </c:pt>
                <c:pt idx="411">
                  <c:v>2.9499999999999593</c:v>
                </c:pt>
                <c:pt idx="412">
                  <c:v>2.9449999999999594</c:v>
                </c:pt>
                <c:pt idx="413">
                  <c:v>2.9399999999999595</c:v>
                </c:pt>
                <c:pt idx="414">
                  <c:v>2.9349999999999596</c:v>
                </c:pt>
                <c:pt idx="415">
                  <c:v>2.9299999999999597</c:v>
                </c:pt>
                <c:pt idx="416">
                  <c:v>2.9249999999999599</c:v>
                </c:pt>
                <c:pt idx="417">
                  <c:v>2.91999999999996</c:v>
                </c:pt>
                <c:pt idx="418">
                  <c:v>2.9149999999999601</c:v>
                </c:pt>
                <c:pt idx="419">
                  <c:v>2.9099999999999602</c:v>
                </c:pt>
                <c:pt idx="420">
                  <c:v>2.9049999999999603</c:v>
                </c:pt>
                <c:pt idx="421">
                  <c:v>2.8999999999999604</c:v>
                </c:pt>
                <c:pt idx="422">
                  <c:v>2.8949999999999605</c:v>
                </c:pt>
                <c:pt idx="423">
                  <c:v>2.8899999999999606</c:v>
                </c:pt>
                <c:pt idx="424">
                  <c:v>2.8849999999999607</c:v>
                </c:pt>
                <c:pt idx="425">
                  <c:v>2.8799999999999608</c:v>
                </c:pt>
                <c:pt idx="426">
                  <c:v>2.8749999999999609</c:v>
                </c:pt>
                <c:pt idx="427">
                  <c:v>2.869999999999961</c:v>
                </c:pt>
                <c:pt idx="428">
                  <c:v>2.8649999999999611</c:v>
                </c:pt>
                <c:pt idx="429">
                  <c:v>2.8599999999999612</c:v>
                </c:pt>
                <c:pt idx="430">
                  <c:v>2.8549999999999613</c:v>
                </c:pt>
                <c:pt idx="431">
                  <c:v>2.8499999999999615</c:v>
                </c:pt>
                <c:pt idx="432">
                  <c:v>2.8449999999999616</c:v>
                </c:pt>
                <c:pt idx="433">
                  <c:v>2.8399999999999617</c:v>
                </c:pt>
                <c:pt idx="434">
                  <c:v>2.8349999999999618</c:v>
                </c:pt>
                <c:pt idx="435">
                  <c:v>2.8299999999999619</c:v>
                </c:pt>
                <c:pt idx="436">
                  <c:v>2.824999999999962</c:v>
                </c:pt>
                <c:pt idx="437">
                  <c:v>2.8199999999999621</c:v>
                </c:pt>
                <c:pt idx="438">
                  <c:v>2.8149999999999622</c:v>
                </c:pt>
                <c:pt idx="439">
                  <c:v>2.8099999999999623</c:v>
                </c:pt>
                <c:pt idx="440">
                  <c:v>2.8049999999999624</c:v>
                </c:pt>
                <c:pt idx="441">
                  <c:v>2.7999999999999625</c:v>
                </c:pt>
                <c:pt idx="442">
                  <c:v>2.7949999999999626</c:v>
                </c:pt>
                <c:pt idx="443">
                  <c:v>2.7899999999999627</c:v>
                </c:pt>
                <c:pt idx="444">
                  <c:v>2.7849999999999628</c:v>
                </c:pt>
                <c:pt idx="445">
                  <c:v>2.7799999999999629</c:v>
                </c:pt>
                <c:pt idx="446">
                  <c:v>2.7749999999999631</c:v>
                </c:pt>
                <c:pt idx="447">
                  <c:v>2.7699999999999632</c:v>
                </c:pt>
                <c:pt idx="448">
                  <c:v>2.7649999999999633</c:v>
                </c:pt>
                <c:pt idx="449">
                  <c:v>2.7599999999999634</c:v>
                </c:pt>
                <c:pt idx="450">
                  <c:v>2.7549999999999635</c:v>
                </c:pt>
                <c:pt idx="451">
                  <c:v>2.7499999999999636</c:v>
                </c:pt>
                <c:pt idx="452">
                  <c:v>2.7449999999999637</c:v>
                </c:pt>
                <c:pt idx="453">
                  <c:v>2.7399999999999638</c:v>
                </c:pt>
                <c:pt idx="454">
                  <c:v>2.7349999999999639</c:v>
                </c:pt>
                <c:pt idx="455">
                  <c:v>2.729999999999964</c:v>
                </c:pt>
                <c:pt idx="456">
                  <c:v>2.7249999999999641</c:v>
                </c:pt>
                <c:pt idx="457">
                  <c:v>2.7199999999999642</c:v>
                </c:pt>
                <c:pt idx="458">
                  <c:v>2.7149999999999643</c:v>
                </c:pt>
                <c:pt idx="459">
                  <c:v>2.7099999999999644</c:v>
                </c:pt>
                <c:pt idx="460">
                  <c:v>2.7049999999999645</c:v>
                </c:pt>
                <c:pt idx="461">
                  <c:v>2.6999999999999647</c:v>
                </c:pt>
                <c:pt idx="462">
                  <c:v>2.6949999999999648</c:v>
                </c:pt>
                <c:pt idx="463">
                  <c:v>2.6899999999999649</c:v>
                </c:pt>
                <c:pt idx="464">
                  <c:v>2.684999999999965</c:v>
                </c:pt>
                <c:pt idx="465">
                  <c:v>2.6799999999999651</c:v>
                </c:pt>
                <c:pt idx="466">
                  <c:v>2.6749999999999652</c:v>
                </c:pt>
                <c:pt idx="467">
                  <c:v>2.6699999999999653</c:v>
                </c:pt>
                <c:pt idx="468">
                  <c:v>2.6649999999999654</c:v>
                </c:pt>
                <c:pt idx="469">
                  <c:v>2.6599999999999655</c:v>
                </c:pt>
                <c:pt idx="470">
                  <c:v>2.6549999999999656</c:v>
                </c:pt>
                <c:pt idx="471">
                  <c:v>2.6499999999999657</c:v>
                </c:pt>
                <c:pt idx="472">
                  <c:v>2.6449999999999658</c:v>
                </c:pt>
                <c:pt idx="473">
                  <c:v>2.6399999999999659</c:v>
                </c:pt>
                <c:pt idx="474">
                  <c:v>2.634999999999966</c:v>
                </c:pt>
                <c:pt idx="475">
                  <c:v>2.6299999999999661</c:v>
                </c:pt>
                <c:pt idx="476">
                  <c:v>2.6249999999999662</c:v>
                </c:pt>
                <c:pt idx="477">
                  <c:v>2.6199999999999664</c:v>
                </c:pt>
                <c:pt idx="478">
                  <c:v>2.6149999999999665</c:v>
                </c:pt>
                <c:pt idx="479">
                  <c:v>2.6099999999999666</c:v>
                </c:pt>
                <c:pt idx="480">
                  <c:v>2.6049999999999667</c:v>
                </c:pt>
                <c:pt idx="481">
                  <c:v>2.5999999999999668</c:v>
                </c:pt>
                <c:pt idx="482">
                  <c:v>2.5949999999999669</c:v>
                </c:pt>
                <c:pt idx="483">
                  <c:v>2.589999999999967</c:v>
                </c:pt>
                <c:pt idx="484">
                  <c:v>2.5849999999999671</c:v>
                </c:pt>
                <c:pt idx="485">
                  <c:v>2.5799999999999672</c:v>
                </c:pt>
                <c:pt idx="486">
                  <c:v>2.5749999999999673</c:v>
                </c:pt>
                <c:pt idx="487">
                  <c:v>2.5699999999999674</c:v>
                </c:pt>
                <c:pt idx="488">
                  <c:v>2.5649999999999675</c:v>
                </c:pt>
                <c:pt idx="489">
                  <c:v>2.5599999999999676</c:v>
                </c:pt>
                <c:pt idx="490">
                  <c:v>2.5549999999999677</c:v>
                </c:pt>
                <c:pt idx="491">
                  <c:v>2.5499999999999678</c:v>
                </c:pt>
                <c:pt idx="492">
                  <c:v>2.544999999999968</c:v>
                </c:pt>
                <c:pt idx="493">
                  <c:v>2.5399999999999681</c:v>
                </c:pt>
                <c:pt idx="494">
                  <c:v>2.5349999999999682</c:v>
                </c:pt>
                <c:pt idx="495">
                  <c:v>2.5299999999999683</c:v>
                </c:pt>
                <c:pt idx="496">
                  <c:v>2.5249999999999684</c:v>
                </c:pt>
                <c:pt idx="497">
                  <c:v>2.5199999999999685</c:v>
                </c:pt>
                <c:pt idx="498">
                  <c:v>2.5149999999999686</c:v>
                </c:pt>
                <c:pt idx="499">
                  <c:v>2.5099999999999687</c:v>
                </c:pt>
                <c:pt idx="500">
                  <c:v>2.5049999999999688</c:v>
                </c:pt>
                <c:pt idx="501">
                  <c:v>2.4999999999999689</c:v>
                </c:pt>
                <c:pt idx="502">
                  <c:v>2.494999999999969</c:v>
                </c:pt>
                <c:pt idx="503">
                  <c:v>2.4899999999999691</c:v>
                </c:pt>
                <c:pt idx="504">
                  <c:v>2.4849999999999692</c:v>
                </c:pt>
                <c:pt idx="505">
                  <c:v>2.4799999999999693</c:v>
                </c:pt>
                <c:pt idx="506">
                  <c:v>2.4749999999999694</c:v>
                </c:pt>
                <c:pt idx="507">
                  <c:v>2.4699999999999696</c:v>
                </c:pt>
                <c:pt idx="508">
                  <c:v>2.4649999999999697</c:v>
                </c:pt>
                <c:pt idx="509">
                  <c:v>2.4599999999999698</c:v>
                </c:pt>
                <c:pt idx="510">
                  <c:v>2.4549999999999699</c:v>
                </c:pt>
                <c:pt idx="511">
                  <c:v>2.44999999999997</c:v>
                </c:pt>
                <c:pt idx="512">
                  <c:v>2.4449999999999701</c:v>
                </c:pt>
                <c:pt idx="513">
                  <c:v>2.4399999999999702</c:v>
                </c:pt>
                <c:pt idx="514">
                  <c:v>2.4349999999999703</c:v>
                </c:pt>
                <c:pt idx="515">
                  <c:v>2.4299999999999704</c:v>
                </c:pt>
                <c:pt idx="516">
                  <c:v>2.4249999999999705</c:v>
                </c:pt>
                <c:pt idx="517">
                  <c:v>2.4199999999999706</c:v>
                </c:pt>
                <c:pt idx="518">
                  <c:v>2.4149999999999707</c:v>
                </c:pt>
                <c:pt idx="519">
                  <c:v>2.4099999999999708</c:v>
                </c:pt>
                <c:pt idx="520">
                  <c:v>2.4049999999999709</c:v>
                </c:pt>
                <c:pt idx="521">
                  <c:v>2.399999999999971</c:v>
                </c:pt>
                <c:pt idx="522">
                  <c:v>2.3949999999999712</c:v>
                </c:pt>
                <c:pt idx="523">
                  <c:v>2.3899999999999713</c:v>
                </c:pt>
                <c:pt idx="524">
                  <c:v>2.3849999999999714</c:v>
                </c:pt>
                <c:pt idx="525">
                  <c:v>2.3799999999999715</c:v>
                </c:pt>
                <c:pt idx="526">
                  <c:v>2.3749999999999716</c:v>
                </c:pt>
                <c:pt idx="527">
                  <c:v>2.3699999999999717</c:v>
                </c:pt>
                <c:pt idx="528">
                  <c:v>2.3649999999999718</c:v>
                </c:pt>
                <c:pt idx="529">
                  <c:v>2.3599999999999719</c:v>
                </c:pt>
                <c:pt idx="530">
                  <c:v>2.354999999999972</c:v>
                </c:pt>
                <c:pt idx="531">
                  <c:v>2.3499999999999721</c:v>
                </c:pt>
                <c:pt idx="532">
                  <c:v>2.3449999999999722</c:v>
                </c:pt>
                <c:pt idx="533">
                  <c:v>2.3399999999999723</c:v>
                </c:pt>
                <c:pt idx="534">
                  <c:v>2.3349999999999724</c:v>
                </c:pt>
                <c:pt idx="535">
                  <c:v>2.3299999999999725</c:v>
                </c:pt>
                <c:pt idx="536">
                  <c:v>2.3249999999999726</c:v>
                </c:pt>
                <c:pt idx="537">
                  <c:v>2.3199999999999728</c:v>
                </c:pt>
                <c:pt idx="538">
                  <c:v>2.3149999999999729</c:v>
                </c:pt>
                <c:pt idx="539">
                  <c:v>2.309999999999973</c:v>
                </c:pt>
                <c:pt idx="540">
                  <c:v>2.3049999999999731</c:v>
                </c:pt>
                <c:pt idx="541">
                  <c:v>2.2999999999999732</c:v>
                </c:pt>
                <c:pt idx="542">
                  <c:v>2.2949999999999733</c:v>
                </c:pt>
                <c:pt idx="543">
                  <c:v>2.2899999999999734</c:v>
                </c:pt>
                <c:pt idx="544">
                  <c:v>2.2849999999999735</c:v>
                </c:pt>
                <c:pt idx="545">
                  <c:v>2.2799999999999736</c:v>
                </c:pt>
                <c:pt idx="546">
                  <c:v>2.2749999999999737</c:v>
                </c:pt>
                <c:pt idx="547">
                  <c:v>2.2699999999999738</c:v>
                </c:pt>
                <c:pt idx="548">
                  <c:v>2.2649999999999739</c:v>
                </c:pt>
                <c:pt idx="549">
                  <c:v>2.259999999999974</c:v>
                </c:pt>
                <c:pt idx="550">
                  <c:v>2.2549999999999741</c:v>
                </c:pt>
                <c:pt idx="551">
                  <c:v>2.2499999999999742</c:v>
                </c:pt>
                <c:pt idx="552">
                  <c:v>2.2449999999999743</c:v>
                </c:pt>
                <c:pt idx="553">
                  <c:v>2.2399999999999745</c:v>
                </c:pt>
                <c:pt idx="554">
                  <c:v>2.2349999999999746</c:v>
                </c:pt>
                <c:pt idx="555">
                  <c:v>2.2299999999999747</c:v>
                </c:pt>
                <c:pt idx="556">
                  <c:v>2.2249999999999748</c:v>
                </c:pt>
                <c:pt idx="557">
                  <c:v>2.2199999999999749</c:v>
                </c:pt>
                <c:pt idx="558">
                  <c:v>2.214999999999975</c:v>
                </c:pt>
                <c:pt idx="559">
                  <c:v>2.2099999999999751</c:v>
                </c:pt>
                <c:pt idx="560">
                  <c:v>2.2049999999999752</c:v>
                </c:pt>
                <c:pt idx="561">
                  <c:v>2.1999999999999753</c:v>
                </c:pt>
                <c:pt idx="562">
                  <c:v>2.1949999999999754</c:v>
                </c:pt>
                <c:pt idx="563">
                  <c:v>2.1899999999999755</c:v>
                </c:pt>
                <c:pt idx="564">
                  <c:v>2.1849999999999756</c:v>
                </c:pt>
                <c:pt idx="565">
                  <c:v>2.1799999999999757</c:v>
                </c:pt>
                <c:pt idx="566">
                  <c:v>2.1749999999999758</c:v>
                </c:pt>
                <c:pt idx="567">
                  <c:v>2.1699999999999759</c:v>
                </c:pt>
                <c:pt idx="568">
                  <c:v>2.1649999999999761</c:v>
                </c:pt>
                <c:pt idx="569">
                  <c:v>2.1599999999999762</c:v>
                </c:pt>
                <c:pt idx="570">
                  <c:v>2.1549999999999763</c:v>
                </c:pt>
                <c:pt idx="571">
                  <c:v>2.1499999999999764</c:v>
                </c:pt>
                <c:pt idx="572">
                  <c:v>2.1449999999999765</c:v>
                </c:pt>
                <c:pt idx="573">
                  <c:v>2.1399999999999766</c:v>
                </c:pt>
                <c:pt idx="574">
                  <c:v>2.1349999999999767</c:v>
                </c:pt>
                <c:pt idx="575">
                  <c:v>2.1299999999999768</c:v>
                </c:pt>
                <c:pt idx="576">
                  <c:v>2.1249999999999769</c:v>
                </c:pt>
                <c:pt idx="577">
                  <c:v>2.119999999999977</c:v>
                </c:pt>
                <c:pt idx="578">
                  <c:v>2.1149999999999771</c:v>
                </c:pt>
                <c:pt idx="579">
                  <c:v>2.1099999999999772</c:v>
                </c:pt>
                <c:pt idx="580">
                  <c:v>2.1049999999999773</c:v>
                </c:pt>
                <c:pt idx="581">
                  <c:v>2.0999999999999774</c:v>
                </c:pt>
                <c:pt idx="582">
                  <c:v>2.0949999999999775</c:v>
                </c:pt>
                <c:pt idx="583">
                  <c:v>2.0899999999999777</c:v>
                </c:pt>
                <c:pt idx="584">
                  <c:v>2.0849999999999778</c:v>
                </c:pt>
                <c:pt idx="585">
                  <c:v>2.0799999999999779</c:v>
                </c:pt>
                <c:pt idx="586">
                  <c:v>2.074999999999978</c:v>
                </c:pt>
                <c:pt idx="587">
                  <c:v>2.0699999999999781</c:v>
                </c:pt>
                <c:pt idx="588">
                  <c:v>2.0649999999999782</c:v>
                </c:pt>
                <c:pt idx="589">
                  <c:v>2.0599999999999783</c:v>
                </c:pt>
                <c:pt idx="590">
                  <c:v>2.0549999999999784</c:v>
                </c:pt>
                <c:pt idx="591">
                  <c:v>2.0499999999999785</c:v>
                </c:pt>
                <c:pt idx="592">
                  <c:v>2.0449999999999786</c:v>
                </c:pt>
                <c:pt idx="593">
                  <c:v>2.0399999999999787</c:v>
                </c:pt>
                <c:pt idx="594">
                  <c:v>2.0349999999999788</c:v>
                </c:pt>
                <c:pt idx="595">
                  <c:v>2.0299999999999789</c:v>
                </c:pt>
                <c:pt idx="596">
                  <c:v>2.024999999999979</c:v>
                </c:pt>
                <c:pt idx="597">
                  <c:v>2.0199999999999791</c:v>
                </c:pt>
                <c:pt idx="598">
                  <c:v>2.0149999999999793</c:v>
                </c:pt>
                <c:pt idx="599">
                  <c:v>2.0099999999999794</c:v>
                </c:pt>
                <c:pt idx="600">
                  <c:v>2.0049999999999795</c:v>
                </c:pt>
                <c:pt idx="601">
                  <c:v>1.9999999999999793</c:v>
                </c:pt>
                <c:pt idx="602">
                  <c:v>1.9949999999999795</c:v>
                </c:pt>
                <c:pt idx="603">
                  <c:v>1.9899999999999796</c:v>
                </c:pt>
                <c:pt idx="604">
                  <c:v>1.9849999999999797</c:v>
                </c:pt>
                <c:pt idx="605">
                  <c:v>1.9799999999999798</c:v>
                </c:pt>
                <c:pt idx="606">
                  <c:v>1.9749999999999799</c:v>
                </c:pt>
                <c:pt idx="607">
                  <c:v>1.96999999999998</c:v>
                </c:pt>
                <c:pt idx="608">
                  <c:v>1.9649999999999801</c:v>
                </c:pt>
                <c:pt idx="609">
                  <c:v>1.9599999999999802</c:v>
                </c:pt>
                <c:pt idx="610">
                  <c:v>1.9549999999999803</c:v>
                </c:pt>
                <c:pt idx="611">
                  <c:v>1.9499999999999804</c:v>
                </c:pt>
                <c:pt idx="612">
                  <c:v>1.9449999999999805</c:v>
                </c:pt>
                <c:pt idx="613">
                  <c:v>1.9399999999999806</c:v>
                </c:pt>
                <c:pt idx="614">
                  <c:v>1.9349999999999807</c:v>
                </c:pt>
                <c:pt idx="615">
                  <c:v>1.9299999999999808</c:v>
                </c:pt>
                <c:pt idx="616">
                  <c:v>1.9249999999999809</c:v>
                </c:pt>
                <c:pt idx="617">
                  <c:v>1.9199999999999811</c:v>
                </c:pt>
                <c:pt idx="618">
                  <c:v>1.9149999999999812</c:v>
                </c:pt>
                <c:pt idx="619">
                  <c:v>1.9099999999999813</c:v>
                </c:pt>
                <c:pt idx="620">
                  <c:v>1.9049999999999814</c:v>
                </c:pt>
                <c:pt idx="621">
                  <c:v>1.8999999999999815</c:v>
                </c:pt>
                <c:pt idx="622">
                  <c:v>1.8949999999999816</c:v>
                </c:pt>
                <c:pt idx="623">
                  <c:v>1.8899999999999817</c:v>
                </c:pt>
                <c:pt idx="624">
                  <c:v>1.8849999999999818</c:v>
                </c:pt>
                <c:pt idx="625">
                  <c:v>1.8799999999999819</c:v>
                </c:pt>
                <c:pt idx="626">
                  <c:v>1.874999999999982</c:v>
                </c:pt>
                <c:pt idx="627">
                  <c:v>1.8699999999999821</c:v>
                </c:pt>
                <c:pt idx="628">
                  <c:v>1.8649999999999822</c:v>
                </c:pt>
                <c:pt idx="629">
                  <c:v>1.8599999999999823</c:v>
                </c:pt>
                <c:pt idx="630">
                  <c:v>1.8549999999999824</c:v>
                </c:pt>
                <c:pt idx="631">
                  <c:v>1.8499999999999825</c:v>
                </c:pt>
                <c:pt idx="632">
                  <c:v>1.8449999999999827</c:v>
                </c:pt>
                <c:pt idx="633">
                  <c:v>1.8399999999999828</c:v>
                </c:pt>
                <c:pt idx="634">
                  <c:v>1.8349999999999829</c:v>
                </c:pt>
                <c:pt idx="635">
                  <c:v>1.829999999999983</c:v>
                </c:pt>
                <c:pt idx="636">
                  <c:v>1.8249999999999831</c:v>
                </c:pt>
                <c:pt idx="637">
                  <c:v>1.8199999999999832</c:v>
                </c:pt>
                <c:pt idx="638">
                  <c:v>1.8149999999999833</c:v>
                </c:pt>
                <c:pt idx="639">
                  <c:v>1.8099999999999834</c:v>
                </c:pt>
                <c:pt idx="640">
                  <c:v>1.8049999999999835</c:v>
                </c:pt>
                <c:pt idx="641">
                  <c:v>1.7999999999999836</c:v>
                </c:pt>
                <c:pt idx="642">
                  <c:v>1.7949999999999837</c:v>
                </c:pt>
                <c:pt idx="643">
                  <c:v>1.7899999999999838</c:v>
                </c:pt>
                <c:pt idx="644">
                  <c:v>1.7849999999999839</c:v>
                </c:pt>
                <c:pt idx="645">
                  <c:v>1.779999999999984</c:v>
                </c:pt>
                <c:pt idx="646">
                  <c:v>1.7749999999999841</c:v>
                </c:pt>
                <c:pt idx="647">
                  <c:v>1.7699999999999843</c:v>
                </c:pt>
                <c:pt idx="648">
                  <c:v>1.7649999999999844</c:v>
                </c:pt>
                <c:pt idx="649">
                  <c:v>1.7599999999999845</c:v>
                </c:pt>
                <c:pt idx="650">
                  <c:v>1.7549999999999846</c:v>
                </c:pt>
                <c:pt idx="651">
                  <c:v>1.7499999999999847</c:v>
                </c:pt>
                <c:pt idx="652">
                  <c:v>1.7449999999999848</c:v>
                </c:pt>
                <c:pt idx="653">
                  <c:v>1.7399999999999849</c:v>
                </c:pt>
                <c:pt idx="654">
                  <c:v>1.734999999999985</c:v>
                </c:pt>
                <c:pt idx="655">
                  <c:v>1.7299999999999851</c:v>
                </c:pt>
                <c:pt idx="656">
                  <c:v>1.7249999999999852</c:v>
                </c:pt>
                <c:pt idx="657">
                  <c:v>1.7199999999999853</c:v>
                </c:pt>
                <c:pt idx="658">
                  <c:v>1.7149999999999854</c:v>
                </c:pt>
                <c:pt idx="659">
                  <c:v>1.7099999999999855</c:v>
                </c:pt>
                <c:pt idx="660">
                  <c:v>1.7049999999999856</c:v>
                </c:pt>
                <c:pt idx="661">
                  <c:v>1.6999999999999857</c:v>
                </c:pt>
                <c:pt idx="662">
                  <c:v>1.6949999999999859</c:v>
                </c:pt>
                <c:pt idx="663">
                  <c:v>1.689999999999986</c:v>
                </c:pt>
                <c:pt idx="664">
                  <c:v>1.6849999999999861</c:v>
                </c:pt>
                <c:pt idx="665">
                  <c:v>1.6799999999999862</c:v>
                </c:pt>
                <c:pt idx="666">
                  <c:v>1.6749999999999863</c:v>
                </c:pt>
                <c:pt idx="667">
                  <c:v>1.6699999999999864</c:v>
                </c:pt>
                <c:pt idx="668">
                  <c:v>1.6649999999999865</c:v>
                </c:pt>
                <c:pt idx="669">
                  <c:v>1.6599999999999866</c:v>
                </c:pt>
                <c:pt idx="670">
                  <c:v>1.6549999999999867</c:v>
                </c:pt>
                <c:pt idx="671">
                  <c:v>1.6499999999999868</c:v>
                </c:pt>
                <c:pt idx="672">
                  <c:v>1.6449999999999869</c:v>
                </c:pt>
                <c:pt idx="673">
                  <c:v>1.639999999999987</c:v>
                </c:pt>
                <c:pt idx="674">
                  <c:v>1.6349999999999871</c:v>
                </c:pt>
                <c:pt idx="675">
                  <c:v>1.6299999999999872</c:v>
                </c:pt>
                <c:pt idx="676">
                  <c:v>1.6249999999999873</c:v>
                </c:pt>
                <c:pt idx="677">
                  <c:v>1.6199999999999875</c:v>
                </c:pt>
                <c:pt idx="678">
                  <c:v>1.6149999999999876</c:v>
                </c:pt>
                <c:pt idx="679">
                  <c:v>1.6099999999999877</c:v>
                </c:pt>
                <c:pt idx="680">
                  <c:v>1.6049999999999878</c:v>
                </c:pt>
                <c:pt idx="681">
                  <c:v>1.5999999999999879</c:v>
                </c:pt>
                <c:pt idx="682">
                  <c:v>1.594999999999988</c:v>
                </c:pt>
                <c:pt idx="683">
                  <c:v>1.5899999999999881</c:v>
                </c:pt>
                <c:pt idx="684">
                  <c:v>1.5849999999999882</c:v>
                </c:pt>
                <c:pt idx="685">
                  <c:v>1.5799999999999883</c:v>
                </c:pt>
                <c:pt idx="686">
                  <c:v>1.5749999999999884</c:v>
                </c:pt>
                <c:pt idx="687">
                  <c:v>1.5699999999999885</c:v>
                </c:pt>
                <c:pt idx="688">
                  <c:v>1.5649999999999886</c:v>
                </c:pt>
                <c:pt idx="689">
                  <c:v>1.5599999999999887</c:v>
                </c:pt>
                <c:pt idx="690">
                  <c:v>1.5549999999999888</c:v>
                </c:pt>
                <c:pt idx="691">
                  <c:v>1.5499999999999889</c:v>
                </c:pt>
                <c:pt idx="692">
                  <c:v>1.544999999999989</c:v>
                </c:pt>
                <c:pt idx="693">
                  <c:v>1.5399999999999892</c:v>
                </c:pt>
                <c:pt idx="694">
                  <c:v>1.5349999999999893</c:v>
                </c:pt>
                <c:pt idx="695">
                  <c:v>1.5299999999999894</c:v>
                </c:pt>
                <c:pt idx="696">
                  <c:v>1.5249999999999895</c:v>
                </c:pt>
                <c:pt idx="697">
                  <c:v>1.5199999999999896</c:v>
                </c:pt>
                <c:pt idx="698">
                  <c:v>1.5149999999999897</c:v>
                </c:pt>
                <c:pt idx="699">
                  <c:v>1.5099999999999898</c:v>
                </c:pt>
                <c:pt idx="700">
                  <c:v>1.5049999999999899</c:v>
                </c:pt>
                <c:pt idx="701">
                  <c:v>1.49999999999999</c:v>
                </c:pt>
                <c:pt idx="702">
                  <c:v>1.4949999999999901</c:v>
                </c:pt>
                <c:pt idx="703">
                  <c:v>1.4899999999999902</c:v>
                </c:pt>
                <c:pt idx="704">
                  <c:v>1.4849999999999903</c:v>
                </c:pt>
                <c:pt idx="705">
                  <c:v>1.4799999999999904</c:v>
                </c:pt>
                <c:pt idx="706">
                  <c:v>1.4749999999999905</c:v>
                </c:pt>
                <c:pt idx="707">
                  <c:v>1.4699999999999906</c:v>
                </c:pt>
                <c:pt idx="708">
                  <c:v>1.4649999999999908</c:v>
                </c:pt>
                <c:pt idx="709">
                  <c:v>1.4599999999999909</c:v>
                </c:pt>
                <c:pt idx="710">
                  <c:v>1.454999999999991</c:v>
                </c:pt>
                <c:pt idx="711">
                  <c:v>1.4499999999999911</c:v>
                </c:pt>
                <c:pt idx="712">
                  <c:v>1.4449999999999912</c:v>
                </c:pt>
                <c:pt idx="713">
                  <c:v>1.4399999999999913</c:v>
                </c:pt>
                <c:pt idx="714">
                  <c:v>1.4349999999999914</c:v>
                </c:pt>
                <c:pt idx="715">
                  <c:v>1.4299999999999915</c:v>
                </c:pt>
                <c:pt idx="716">
                  <c:v>1.4249999999999916</c:v>
                </c:pt>
                <c:pt idx="717">
                  <c:v>1.4199999999999917</c:v>
                </c:pt>
                <c:pt idx="718">
                  <c:v>1.4149999999999918</c:v>
                </c:pt>
                <c:pt idx="719">
                  <c:v>1.4099999999999919</c:v>
                </c:pt>
                <c:pt idx="720">
                  <c:v>1.404999999999992</c:v>
                </c:pt>
                <c:pt idx="721">
                  <c:v>1.3999999999999921</c:v>
                </c:pt>
                <c:pt idx="722">
                  <c:v>1.3949999999999922</c:v>
                </c:pt>
                <c:pt idx="723">
                  <c:v>1.3899999999999924</c:v>
                </c:pt>
                <c:pt idx="724">
                  <c:v>1.3849999999999925</c:v>
                </c:pt>
                <c:pt idx="725">
                  <c:v>1.3799999999999926</c:v>
                </c:pt>
                <c:pt idx="726">
                  <c:v>1.3749999999999927</c:v>
                </c:pt>
                <c:pt idx="727">
                  <c:v>1.3699999999999928</c:v>
                </c:pt>
                <c:pt idx="728">
                  <c:v>1.3649999999999929</c:v>
                </c:pt>
                <c:pt idx="729">
                  <c:v>1.359999999999993</c:v>
                </c:pt>
                <c:pt idx="730">
                  <c:v>1.3549999999999931</c:v>
                </c:pt>
                <c:pt idx="731">
                  <c:v>1.3499999999999932</c:v>
                </c:pt>
                <c:pt idx="732">
                  <c:v>1.3449999999999933</c:v>
                </c:pt>
                <c:pt idx="733">
                  <c:v>1.3399999999999934</c:v>
                </c:pt>
                <c:pt idx="734">
                  <c:v>1.3349999999999935</c:v>
                </c:pt>
                <c:pt idx="735">
                  <c:v>1.3299999999999936</c:v>
                </c:pt>
                <c:pt idx="736">
                  <c:v>1.3249999999999937</c:v>
                </c:pt>
                <c:pt idx="737">
                  <c:v>1.3199999999999938</c:v>
                </c:pt>
                <c:pt idx="738">
                  <c:v>1.314999999999994</c:v>
                </c:pt>
                <c:pt idx="739">
                  <c:v>1.3099999999999941</c:v>
                </c:pt>
                <c:pt idx="740">
                  <c:v>1.3049999999999942</c:v>
                </c:pt>
                <c:pt idx="741">
                  <c:v>1.2999999999999943</c:v>
                </c:pt>
                <c:pt idx="742">
                  <c:v>1.2949999999999944</c:v>
                </c:pt>
                <c:pt idx="743">
                  <c:v>1.2899999999999945</c:v>
                </c:pt>
                <c:pt idx="744">
                  <c:v>1.2849999999999946</c:v>
                </c:pt>
                <c:pt idx="745">
                  <c:v>1.2799999999999947</c:v>
                </c:pt>
                <c:pt idx="746">
                  <c:v>1.2749999999999948</c:v>
                </c:pt>
                <c:pt idx="747">
                  <c:v>1.2699999999999949</c:v>
                </c:pt>
                <c:pt idx="748">
                  <c:v>1.264999999999995</c:v>
                </c:pt>
                <c:pt idx="749">
                  <c:v>1.2599999999999951</c:v>
                </c:pt>
                <c:pt idx="750">
                  <c:v>1.2549999999999952</c:v>
                </c:pt>
                <c:pt idx="751">
                  <c:v>1.2499999999999953</c:v>
                </c:pt>
                <c:pt idx="752">
                  <c:v>1.2449999999999954</c:v>
                </c:pt>
                <c:pt idx="753">
                  <c:v>1.2399999999999956</c:v>
                </c:pt>
                <c:pt idx="754">
                  <c:v>1.2349999999999957</c:v>
                </c:pt>
                <c:pt idx="755">
                  <c:v>1.2299999999999958</c:v>
                </c:pt>
                <c:pt idx="756">
                  <c:v>1.2249999999999959</c:v>
                </c:pt>
                <c:pt idx="757">
                  <c:v>1.219999999999996</c:v>
                </c:pt>
                <c:pt idx="758">
                  <c:v>1.2149999999999961</c:v>
                </c:pt>
                <c:pt idx="759">
                  <c:v>1.2099999999999962</c:v>
                </c:pt>
                <c:pt idx="760">
                  <c:v>1.2049999999999963</c:v>
                </c:pt>
                <c:pt idx="761">
                  <c:v>1.1999999999999964</c:v>
                </c:pt>
                <c:pt idx="762">
                  <c:v>1.1949999999999965</c:v>
                </c:pt>
                <c:pt idx="763">
                  <c:v>1.1899999999999966</c:v>
                </c:pt>
                <c:pt idx="764">
                  <c:v>1.1849999999999967</c:v>
                </c:pt>
                <c:pt idx="765">
                  <c:v>1.1799999999999968</c:v>
                </c:pt>
                <c:pt idx="766">
                  <c:v>1.1749999999999969</c:v>
                </c:pt>
                <c:pt idx="767">
                  <c:v>1.169999999999997</c:v>
                </c:pt>
                <c:pt idx="768">
                  <c:v>1.1649999999999971</c:v>
                </c:pt>
                <c:pt idx="769">
                  <c:v>1.1599999999999973</c:v>
                </c:pt>
                <c:pt idx="770">
                  <c:v>1.1549999999999974</c:v>
                </c:pt>
                <c:pt idx="771">
                  <c:v>1.1499999999999975</c:v>
                </c:pt>
                <c:pt idx="772">
                  <c:v>1.1449999999999976</c:v>
                </c:pt>
                <c:pt idx="773">
                  <c:v>1.1399999999999977</c:v>
                </c:pt>
                <c:pt idx="774">
                  <c:v>1.1349999999999978</c:v>
                </c:pt>
                <c:pt idx="775">
                  <c:v>1.1299999999999979</c:v>
                </c:pt>
                <c:pt idx="776">
                  <c:v>1.124999999999998</c:v>
                </c:pt>
                <c:pt idx="777">
                  <c:v>1.1199999999999981</c:v>
                </c:pt>
                <c:pt idx="778">
                  <c:v>1.1149999999999982</c:v>
                </c:pt>
                <c:pt idx="779">
                  <c:v>1.1099999999999983</c:v>
                </c:pt>
                <c:pt idx="780">
                  <c:v>1.1049999999999984</c:v>
                </c:pt>
                <c:pt idx="781">
                  <c:v>1.0999999999999985</c:v>
                </c:pt>
                <c:pt idx="782">
                  <c:v>1.0949999999999986</c:v>
                </c:pt>
                <c:pt idx="783">
                  <c:v>1.0899999999999987</c:v>
                </c:pt>
                <c:pt idx="784">
                  <c:v>1.0849999999999989</c:v>
                </c:pt>
                <c:pt idx="785">
                  <c:v>1.079999999999999</c:v>
                </c:pt>
                <c:pt idx="786">
                  <c:v>1.0749999999999991</c:v>
                </c:pt>
                <c:pt idx="787">
                  <c:v>1.0699999999999992</c:v>
                </c:pt>
                <c:pt idx="788">
                  <c:v>1.0649999999999993</c:v>
                </c:pt>
                <c:pt idx="789">
                  <c:v>1.0599999999999994</c:v>
                </c:pt>
                <c:pt idx="790">
                  <c:v>1.0549999999999995</c:v>
                </c:pt>
                <c:pt idx="791">
                  <c:v>1.0499999999999996</c:v>
                </c:pt>
                <c:pt idx="792">
                  <c:v>1.0449999999999997</c:v>
                </c:pt>
                <c:pt idx="793">
                  <c:v>1.0399999999999998</c:v>
                </c:pt>
                <c:pt idx="794">
                  <c:v>1.0349999999999999</c:v>
                </c:pt>
                <c:pt idx="795">
                  <c:v>1.03</c:v>
                </c:pt>
                <c:pt idx="796">
                  <c:v>1.0250000000000001</c:v>
                </c:pt>
                <c:pt idx="797">
                  <c:v>1.0200000000000002</c:v>
                </c:pt>
                <c:pt idx="798">
                  <c:v>1.0150000000000003</c:v>
                </c:pt>
                <c:pt idx="799">
                  <c:v>1.0100000000000005</c:v>
                </c:pt>
                <c:pt idx="800">
                  <c:v>1.0050000000000006</c:v>
                </c:pt>
                <c:pt idx="801">
                  <c:v>1.0000000000000007</c:v>
                </c:pt>
                <c:pt idx="802">
                  <c:v>0.99500000000000077</c:v>
                </c:pt>
                <c:pt idx="803">
                  <c:v>0.99000000000000077</c:v>
                </c:pt>
                <c:pt idx="804">
                  <c:v>0.98500000000000076</c:v>
                </c:pt>
                <c:pt idx="805">
                  <c:v>0.98000000000000076</c:v>
                </c:pt>
                <c:pt idx="806">
                  <c:v>0.97500000000000075</c:v>
                </c:pt>
                <c:pt idx="807">
                  <c:v>0.97000000000000075</c:v>
                </c:pt>
                <c:pt idx="808">
                  <c:v>0.96500000000000075</c:v>
                </c:pt>
                <c:pt idx="809">
                  <c:v>0.96000000000000074</c:v>
                </c:pt>
                <c:pt idx="810">
                  <c:v>0.95500000000000074</c:v>
                </c:pt>
                <c:pt idx="811">
                  <c:v>0.95000000000000073</c:v>
                </c:pt>
                <c:pt idx="812">
                  <c:v>0.94500000000000073</c:v>
                </c:pt>
                <c:pt idx="813">
                  <c:v>0.94000000000000072</c:v>
                </c:pt>
                <c:pt idx="814">
                  <c:v>0.93500000000000072</c:v>
                </c:pt>
                <c:pt idx="815">
                  <c:v>0.93000000000000071</c:v>
                </c:pt>
                <c:pt idx="816">
                  <c:v>0.92500000000000071</c:v>
                </c:pt>
                <c:pt idx="817">
                  <c:v>0.92000000000000071</c:v>
                </c:pt>
                <c:pt idx="818">
                  <c:v>0.9150000000000007</c:v>
                </c:pt>
                <c:pt idx="819">
                  <c:v>0.9100000000000007</c:v>
                </c:pt>
                <c:pt idx="820">
                  <c:v>0.90500000000000069</c:v>
                </c:pt>
                <c:pt idx="821">
                  <c:v>0.90000000000000069</c:v>
                </c:pt>
                <c:pt idx="822">
                  <c:v>0.89500000000000068</c:v>
                </c:pt>
                <c:pt idx="823">
                  <c:v>0.89000000000000068</c:v>
                </c:pt>
                <c:pt idx="824">
                  <c:v>0.88500000000000068</c:v>
                </c:pt>
                <c:pt idx="825">
                  <c:v>0.88000000000000067</c:v>
                </c:pt>
                <c:pt idx="826">
                  <c:v>0.87500000000000067</c:v>
                </c:pt>
                <c:pt idx="827">
                  <c:v>0.87000000000000066</c:v>
                </c:pt>
                <c:pt idx="828">
                  <c:v>0.86500000000000066</c:v>
                </c:pt>
                <c:pt idx="829">
                  <c:v>0.86000000000000065</c:v>
                </c:pt>
                <c:pt idx="830">
                  <c:v>0.85500000000000065</c:v>
                </c:pt>
                <c:pt idx="831">
                  <c:v>0.85000000000000064</c:v>
                </c:pt>
                <c:pt idx="832">
                  <c:v>0.84500000000000064</c:v>
                </c:pt>
                <c:pt idx="833">
                  <c:v>0.84000000000000064</c:v>
                </c:pt>
                <c:pt idx="834">
                  <c:v>0.83500000000000063</c:v>
                </c:pt>
                <c:pt idx="835">
                  <c:v>0.83000000000000063</c:v>
                </c:pt>
                <c:pt idx="836">
                  <c:v>0.82500000000000062</c:v>
                </c:pt>
                <c:pt idx="837">
                  <c:v>0.82000000000000062</c:v>
                </c:pt>
                <c:pt idx="838">
                  <c:v>0.81500000000000061</c:v>
                </c:pt>
                <c:pt idx="839">
                  <c:v>0.81000000000000061</c:v>
                </c:pt>
                <c:pt idx="840">
                  <c:v>0.8050000000000006</c:v>
                </c:pt>
                <c:pt idx="841">
                  <c:v>0.8000000000000006</c:v>
                </c:pt>
                <c:pt idx="842">
                  <c:v>0.7950000000000006</c:v>
                </c:pt>
                <c:pt idx="843">
                  <c:v>0.79000000000000059</c:v>
                </c:pt>
                <c:pt idx="844">
                  <c:v>0.78500000000000059</c:v>
                </c:pt>
                <c:pt idx="845">
                  <c:v>0.78000000000000058</c:v>
                </c:pt>
                <c:pt idx="846">
                  <c:v>0.77500000000000058</c:v>
                </c:pt>
                <c:pt idx="847">
                  <c:v>0.77000000000000057</c:v>
                </c:pt>
                <c:pt idx="848">
                  <c:v>0.76500000000000057</c:v>
                </c:pt>
                <c:pt idx="849">
                  <c:v>0.76000000000000056</c:v>
                </c:pt>
                <c:pt idx="850">
                  <c:v>0.75500000000000056</c:v>
                </c:pt>
                <c:pt idx="851">
                  <c:v>0.75000000000000056</c:v>
                </c:pt>
                <c:pt idx="852">
                  <c:v>0.74500000000000055</c:v>
                </c:pt>
                <c:pt idx="853">
                  <c:v>0.74000000000000055</c:v>
                </c:pt>
                <c:pt idx="854">
                  <c:v>0.73500000000000054</c:v>
                </c:pt>
                <c:pt idx="855">
                  <c:v>0.73000000000000054</c:v>
                </c:pt>
                <c:pt idx="856">
                  <c:v>0.72500000000000053</c:v>
                </c:pt>
                <c:pt idx="857">
                  <c:v>0.72000000000000053</c:v>
                </c:pt>
                <c:pt idx="858">
                  <c:v>0.71500000000000052</c:v>
                </c:pt>
                <c:pt idx="859">
                  <c:v>0.71000000000000052</c:v>
                </c:pt>
                <c:pt idx="860">
                  <c:v>0.70500000000000052</c:v>
                </c:pt>
                <c:pt idx="861">
                  <c:v>0.70000000000000051</c:v>
                </c:pt>
                <c:pt idx="862">
                  <c:v>0.69500000000000051</c:v>
                </c:pt>
                <c:pt idx="863">
                  <c:v>0.6900000000000005</c:v>
                </c:pt>
                <c:pt idx="864">
                  <c:v>0.6850000000000005</c:v>
                </c:pt>
                <c:pt idx="865">
                  <c:v>0.68000000000000049</c:v>
                </c:pt>
                <c:pt idx="866">
                  <c:v>0.67500000000000049</c:v>
                </c:pt>
                <c:pt idx="867">
                  <c:v>0.67000000000000048</c:v>
                </c:pt>
                <c:pt idx="868">
                  <c:v>0.66500000000000048</c:v>
                </c:pt>
                <c:pt idx="869">
                  <c:v>0.66000000000000048</c:v>
                </c:pt>
                <c:pt idx="870">
                  <c:v>0.65500000000000047</c:v>
                </c:pt>
                <c:pt idx="871">
                  <c:v>0.65000000000000047</c:v>
                </c:pt>
                <c:pt idx="872">
                  <c:v>0.64500000000000046</c:v>
                </c:pt>
                <c:pt idx="873">
                  <c:v>0.64000000000000046</c:v>
                </c:pt>
                <c:pt idx="874">
                  <c:v>0.63500000000000045</c:v>
                </c:pt>
                <c:pt idx="875">
                  <c:v>0.63000000000000045</c:v>
                </c:pt>
                <c:pt idx="876">
                  <c:v>0.62500000000000044</c:v>
                </c:pt>
                <c:pt idx="877">
                  <c:v>0.62000000000000044</c:v>
                </c:pt>
                <c:pt idx="878">
                  <c:v>0.61500000000000044</c:v>
                </c:pt>
                <c:pt idx="879">
                  <c:v>0.61000000000000043</c:v>
                </c:pt>
                <c:pt idx="880">
                  <c:v>0.60500000000000043</c:v>
                </c:pt>
                <c:pt idx="881">
                  <c:v>0.60000000000000042</c:v>
                </c:pt>
                <c:pt idx="882">
                  <c:v>0.59500000000000042</c:v>
                </c:pt>
                <c:pt idx="883">
                  <c:v>0.59000000000000041</c:v>
                </c:pt>
                <c:pt idx="884">
                  <c:v>0.58500000000000041</c:v>
                </c:pt>
                <c:pt idx="885">
                  <c:v>0.5800000000000004</c:v>
                </c:pt>
                <c:pt idx="886">
                  <c:v>0.5750000000000004</c:v>
                </c:pt>
                <c:pt idx="887">
                  <c:v>0.5700000000000004</c:v>
                </c:pt>
                <c:pt idx="888">
                  <c:v>0.56500000000000039</c:v>
                </c:pt>
                <c:pt idx="889">
                  <c:v>0.56000000000000039</c:v>
                </c:pt>
                <c:pt idx="890">
                  <c:v>0.55500000000000038</c:v>
                </c:pt>
                <c:pt idx="891">
                  <c:v>0.55000000000000038</c:v>
                </c:pt>
                <c:pt idx="892">
                  <c:v>0.54500000000000037</c:v>
                </c:pt>
                <c:pt idx="893">
                  <c:v>0.54000000000000037</c:v>
                </c:pt>
                <c:pt idx="894">
                  <c:v>0.53500000000000036</c:v>
                </c:pt>
                <c:pt idx="895">
                  <c:v>0.53000000000000036</c:v>
                </c:pt>
                <c:pt idx="896">
                  <c:v>0.52500000000000036</c:v>
                </c:pt>
                <c:pt idx="897">
                  <c:v>0.52000000000000035</c:v>
                </c:pt>
                <c:pt idx="898">
                  <c:v>0.51500000000000035</c:v>
                </c:pt>
                <c:pt idx="899">
                  <c:v>0.51000000000000034</c:v>
                </c:pt>
                <c:pt idx="900">
                  <c:v>0.50500000000000034</c:v>
                </c:pt>
                <c:pt idx="901">
                  <c:v>0.50000000000000033</c:v>
                </c:pt>
                <c:pt idx="902">
                  <c:v>0.49500000000000033</c:v>
                </c:pt>
                <c:pt idx="903">
                  <c:v>0.49000000000000032</c:v>
                </c:pt>
                <c:pt idx="904">
                  <c:v>0.48500000000000032</c:v>
                </c:pt>
                <c:pt idx="905">
                  <c:v>0.48000000000000032</c:v>
                </c:pt>
                <c:pt idx="906">
                  <c:v>0.47500000000000031</c:v>
                </c:pt>
                <c:pt idx="907">
                  <c:v>0.47000000000000031</c:v>
                </c:pt>
                <c:pt idx="908">
                  <c:v>0.4650000000000003</c:v>
                </c:pt>
                <c:pt idx="909">
                  <c:v>0.4600000000000003</c:v>
                </c:pt>
                <c:pt idx="910">
                  <c:v>0.45500000000000029</c:v>
                </c:pt>
                <c:pt idx="911">
                  <c:v>0.45000000000000029</c:v>
                </c:pt>
                <c:pt idx="912">
                  <c:v>0.44500000000000028</c:v>
                </c:pt>
                <c:pt idx="913">
                  <c:v>0.44000000000000028</c:v>
                </c:pt>
                <c:pt idx="914">
                  <c:v>0.43500000000000028</c:v>
                </c:pt>
                <c:pt idx="915">
                  <c:v>0.43000000000000027</c:v>
                </c:pt>
                <c:pt idx="916">
                  <c:v>0.42500000000000027</c:v>
                </c:pt>
                <c:pt idx="917">
                  <c:v>0.42000000000000026</c:v>
                </c:pt>
                <c:pt idx="918">
                  <c:v>0.41500000000000026</c:v>
                </c:pt>
                <c:pt idx="919">
                  <c:v>0.41000000000000025</c:v>
                </c:pt>
                <c:pt idx="920">
                  <c:v>0.40500000000000025</c:v>
                </c:pt>
                <c:pt idx="921">
                  <c:v>0.40000000000000024</c:v>
                </c:pt>
                <c:pt idx="922">
                  <c:v>0.39500000000000024</c:v>
                </c:pt>
                <c:pt idx="923">
                  <c:v>0.39000000000000024</c:v>
                </c:pt>
                <c:pt idx="924">
                  <c:v>0.38500000000000023</c:v>
                </c:pt>
                <c:pt idx="925">
                  <c:v>0.38000000000000023</c:v>
                </c:pt>
                <c:pt idx="926">
                  <c:v>0.37500000000000022</c:v>
                </c:pt>
                <c:pt idx="927">
                  <c:v>0.37000000000000022</c:v>
                </c:pt>
                <c:pt idx="928">
                  <c:v>0.36500000000000021</c:v>
                </c:pt>
                <c:pt idx="929">
                  <c:v>0.36000000000000021</c:v>
                </c:pt>
                <c:pt idx="930">
                  <c:v>0.3550000000000002</c:v>
                </c:pt>
                <c:pt idx="931">
                  <c:v>0.3500000000000002</c:v>
                </c:pt>
                <c:pt idx="932">
                  <c:v>0.3450000000000002</c:v>
                </c:pt>
                <c:pt idx="933">
                  <c:v>0.34000000000000019</c:v>
                </c:pt>
                <c:pt idx="934">
                  <c:v>0.33500000000000019</c:v>
                </c:pt>
                <c:pt idx="935">
                  <c:v>0.33000000000000018</c:v>
                </c:pt>
                <c:pt idx="936">
                  <c:v>0.32500000000000018</c:v>
                </c:pt>
                <c:pt idx="937">
                  <c:v>0.32000000000000017</c:v>
                </c:pt>
                <c:pt idx="938">
                  <c:v>0.31500000000000017</c:v>
                </c:pt>
                <c:pt idx="939">
                  <c:v>0.31000000000000016</c:v>
                </c:pt>
                <c:pt idx="940">
                  <c:v>0.30500000000000016</c:v>
                </c:pt>
                <c:pt idx="941">
                  <c:v>0.30000000000000016</c:v>
                </c:pt>
                <c:pt idx="942">
                  <c:v>0.29500000000000015</c:v>
                </c:pt>
                <c:pt idx="943">
                  <c:v>0.29000000000000015</c:v>
                </c:pt>
                <c:pt idx="944">
                  <c:v>0.28500000000000014</c:v>
                </c:pt>
                <c:pt idx="945">
                  <c:v>0.28000000000000014</c:v>
                </c:pt>
                <c:pt idx="946">
                  <c:v>0.27500000000000013</c:v>
                </c:pt>
                <c:pt idx="947">
                  <c:v>0.27000000000000013</c:v>
                </c:pt>
                <c:pt idx="948">
                  <c:v>0.26500000000000012</c:v>
                </c:pt>
                <c:pt idx="949">
                  <c:v>0.26000000000000012</c:v>
                </c:pt>
                <c:pt idx="950">
                  <c:v>0.25500000000000012</c:v>
                </c:pt>
                <c:pt idx="951">
                  <c:v>0.25000000000000011</c:v>
                </c:pt>
                <c:pt idx="952">
                  <c:v>0.24500000000000013</c:v>
                </c:pt>
                <c:pt idx="953">
                  <c:v>0.24000000000000013</c:v>
                </c:pt>
                <c:pt idx="954">
                  <c:v>0.23500000000000013</c:v>
                </c:pt>
                <c:pt idx="955">
                  <c:v>0.23000000000000012</c:v>
                </c:pt>
                <c:pt idx="956">
                  <c:v>0.22500000000000012</c:v>
                </c:pt>
                <c:pt idx="957">
                  <c:v>0.22000000000000011</c:v>
                </c:pt>
                <c:pt idx="958">
                  <c:v>0.21500000000000011</c:v>
                </c:pt>
                <c:pt idx="959">
                  <c:v>0.2100000000000001</c:v>
                </c:pt>
                <c:pt idx="960">
                  <c:v>0.2050000000000001</c:v>
                </c:pt>
                <c:pt idx="961">
                  <c:v>0.20000000000000009</c:v>
                </c:pt>
                <c:pt idx="962">
                  <c:v>0.19500000000000009</c:v>
                </c:pt>
                <c:pt idx="963">
                  <c:v>0.19000000000000009</c:v>
                </c:pt>
                <c:pt idx="964">
                  <c:v>0.18500000000000008</c:v>
                </c:pt>
                <c:pt idx="965">
                  <c:v>0.18000000000000008</c:v>
                </c:pt>
                <c:pt idx="966">
                  <c:v>0.17500000000000007</c:v>
                </c:pt>
                <c:pt idx="967">
                  <c:v>0.17000000000000007</c:v>
                </c:pt>
                <c:pt idx="968">
                  <c:v>0.16500000000000006</c:v>
                </c:pt>
                <c:pt idx="969">
                  <c:v>0.16000000000000006</c:v>
                </c:pt>
                <c:pt idx="970">
                  <c:v>0.15500000000000005</c:v>
                </c:pt>
                <c:pt idx="971">
                  <c:v>0.15000000000000005</c:v>
                </c:pt>
                <c:pt idx="972">
                  <c:v>0.14500000000000005</c:v>
                </c:pt>
                <c:pt idx="973">
                  <c:v>0.14000000000000004</c:v>
                </c:pt>
                <c:pt idx="974">
                  <c:v>0.13500000000000004</c:v>
                </c:pt>
                <c:pt idx="975">
                  <c:v>0.13000000000000003</c:v>
                </c:pt>
                <c:pt idx="976">
                  <c:v>0.12500000000000003</c:v>
                </c:pt>
                <c:pt idx="977">
                  <c:v>0.12000000000000004</c:v>
                </c:pt>
                <c:pt idx="978">
                  <c:v>0.11500000000000003</c:v>
                </c:pt>
                <c:pt idx="979">
                  <c:v>0.11000000000000003</c:v>
                </c:pt>
                <c:pt idx="980">
                  <c:v>0.10500000000000002</c:v>
                </c:pt>
                <c:pt idx="981">
                  <c:v>0.10000000000000002</c:v>
                </c:pt>
                <c:pt idx="982">
                  <c:v>9.5000000000000015E-2</c:v>
                </c:pt>
                <c:pt idx="983">
                  <c:v>9.0000000000000011E-2</c:v>
                </c:pt>
                <c:pt idx="984">
                  <c:v>8.5000000000000006E-2</c:v>
                </c:pt>
                <c:pt idx="985">
                  <c:v>0.08</c:v>
                </c:pt>
                <c:pt idx="986">
                  <c:v>7.4999999999999997E-2</c:v>
                </c:pt>
                <c:pt idx="987">
                  <c:v>6.9999999999999993E-2</c:v>
                </c:pt>
                <c:pt idx="988">
                  <c:v>6.4999999999999988E-2</c:v>
                </c:pt>
                <c:pt idx="989">
                  <c:v>5.9999999999999991E-2</c:v>
                </c:pt>
                <c:pt idx="990">
                  <c:v>5.4999999999999993E-2</c:v>
                </c:pt>
                <c:pt idx="991">
                  <c:v>4.9999999999999996E-2</c:v>
                </c:pt>
                <c:pt idx="992">
                  <c:v>4.4999999999999998E-2</c:v>
                </c:pt>
                <c:pt idx="993">
                  <c:v>0.04</c:v>
                </c:pt>
                <c:pt idx="994">
                  <c:v>3.5000000000000003E-2</c:v>
                </c:pt>
                <c:pt idx="995">
                  <c:v>3.0000000000000002E-2</c:v>
                </c:pt>
                <c:pt idx="996">
                  <c:v>2.5000000000000001E-2</c:v>
                </c:pt>
                <c:pt idx="997">
                  <c:v>0.02</c:v>
                </c:pt>
                <c:pt idx="998">
                  <c:v>1.4999999999999999E-2</c:v>
                </c:pt>
                <c:pt idx="999">
                  <c:v>0.01</c:v>
                </c:pt>
                <c:pt idx="1000">
                  <c:v>5.0000000000000001E-3</c:v>
                </c:pt>
              </c:numCache>
            </c:numRef>
          </c:xVal>
          <c:yVal>
            <c:numRef>
              <c:f>Sheet1!$R$302:$R$1504</c:f>
              <c:numCache>
                <c:formatCode>General</c:formatCode>
                <c:ptCount val="1203"/>
                <c:pt idx="0">
                  <c:v>12.349810075336347</c:v>
                </c:pt>
                <c:pt idx="1">
                  <c:v>12.349810075336347</c:v>
                </c:pt>
                <c:pt idx="2">
                  <c:v>12.349810075336347</c:v>
                </c:pt>
                <c:pt idx="3">
                  <c:v>12.349810075336347</c:v>
                </c:pt>
                <c:pt idx="4">
                  <c:v>12.349810075336347</c:v>
                </c:pt>
                <c:pt idx="5">
                  <c:v>12.349810075336347</c:v>
                </c:pt>
                <c:pt idx="6">
                  <c:v>12.349810075336347</c:v>
                </c:pt>
                <c:pt idx="7">
                  <c:v>12.349810075336347</c:v>
                </c:pt>
                <c:pt idx="8">
                  <c:v>12.349810075336347</c:v>
                </c:pt>
                <c:pt idx="9">
                  <c:v>12.349810075336347</c:v>
                </c:pt>
                <c:pt idx="10">
                  <c:v>12.349810075336347</c:v>
                </c:pt>
                <c:pt idx="11">
                  <c:v>12.349810075336347</c:v>
                </c:pt>
                <c:pt idx="12">
                  <c:v>12.349810075336347</c:v>
                </c:pt>
                <c:pt idx="13">
                  <c:v>12.349810075336347</c:v>
                </c:pt>
                <c:pt idx="14">
                  <c:v>12.349810075336347</c:v>
                </c:pt>
                <c:pt idx="15">
                  <c:v>12.349810075336347</c:v>
                </c:pt>
                <c:pt idx="16">
                  <c:v>12.349810075336347</c:v>
                </c:pt>
                <c:pt idx="17">
                  <c:v>12.349810075336347</c:v>
                </c:pt>
                <c:pt idx="18">
                  <c:v>12.349810075336347</c:v>
                </c:pt>
                <c:pt idx="19">
                  <c:v>12.349810075336347</c:v>
                </c:pt>
                <c:pt idx="20">
                  <c:v>12.349810075336347</c:v>
                </c:pt>
                <c:pt idx="21">
                  <c:v>12.349810075336347</c:v>
                </c:pt>
                <c:pt idx="22">
                  <c:v>12.349810075336347</c:v>
                </c:pt>
                <c:pt idx="23">
                  <c:v>12.349810075336347</c:v>
                </c:pt>
                <c:pt idx="24">
                  <c:v>12.349810075336347</c:v>
                </c:pt>
                <c:pt idx="25">
                  <c:v>12.349810075336347</c:v>
                </c:pt>
                <c:pt idx="26">
                  <c:v>12.349810075336347</c:v>
                </c:pt>
                <c:pt idx="27">
                  <c:v>12.349810075336347</c:v>
                </c:pt>
                <c:pt idx="28">
                  <c:v>12.349810075336347</c:v>
                </c:pt>
                <c:pt idx="29">
                  <c:v>12.349810075336347</c:v>
                </c:pt>
                <c:pt idx="30">
                  <c:v>12.349810075336347</c:v>
                </c:pt>
                <c:pt idx="31">
                  <c:v>12.349810075336347</c:v>
                </c:pt>
                <c:pt idx="32">
                  <c:v>12.349810075336347</c:v>
                </c:pt>
                <c:pt idx="33">
                  <c:v>12.349810075336347</c:v>
                </c:pt>
                <c:pt idx="34">
                  <c:v>12.349810075336347</c:v>
                </c:pt>
                <c:pt idx="35">
                  <c:v>12.349810075336347</c:v>
                </c:pt>
                <c:pt idx="36">
                  <c:v>12.349810075336347</c:v>
                </c:pt>
                <c:pt idx="37">
                  <c:v>12.349810075336347</c:v>
                </c:pt>
                <c:pt idx="38">
                  <c:v>12.349810075336347</c:v>
                </c:pt>
                <c:pt idx="39">
                  <c:v>12.349810075336347</c:v>
                </c:pt>
                <c:pt idx="40">
                  <c:v>12.349810075336347</c:v>
                </c:pt>
                <c:pt idx="41">
                  <c:v>12.349810075336347</c:v>
                </c:pt>
                <c:pt idx="42">
                  <c:v>12.349810075336347</c:v>
                </c:pt>
                <c:pt idx="43">
                  <c:v>12.349810075336347</c:v>
                </c:pt>
                <c:pt idx="44">
                  <c:v>12.349810075336347</c:v>
                </c:pt>
                <c:pt idx="45">
                  <c:v>12.349810075336347</c:v>
                </c:pt>
                <c:pt idx="46">
                  <c:v>12.349810075336347</c:v>
                </c:pt>
                <c:pt idx="47">
                  <c:v>12.349810075336347</c:v>
                </c:pt>
                <c:pt idx="48">
                  <c:v>12.349810075336347</c:v>
                </c:pt>
                <c:pt idx="49">
                  <c:v>12.349810075336347</c:v>
                </c:pt>
                <c:pt idx="50">
                  <c:v>12.349810075336347</c:v>
                </c:pt>
                <c:pt idx="51">
                  <c:v>12.349810075336347</c:v>
                </c:pt>
                <c:pt idx="52">
                  <c:v>12.349810075336347</c:v>
                </c:pt>
                <c:pt idx="53">
                  <c:v>12.349810075336347</c:v>
                </c:pt>
                <c:pt idx="54">
                  <c:v>12.349810075336347</c:v>
                </c:pt>
                <c:pt idx="55">
                  <c:v>12.349810075336347</c:v>
                </c:pt>
                <c:pt idx="56">
                  <c:v>12.349810075336347</c:v>
                </c:pt>
                <c:pt idx="57">
                  <c:v>12.349810075336347</c:v>
                </c:pt>
                <c:pt idx="58">
                  <c:v>12.349810075336347</c:v>
                </c:pt>
                <c:pt idx="59">
                  <c:v>12.349810075336347</c:v>
                </c:pt>
                <c:pt idx="60">
                  <c:v>12.349810075336347</c:v>
                </c:pt>
                <c:pt idx="61">
                  <c:v>12.349810075336347</c:v>
                </c:pt>
                <c:pt idx="62">
                  <c:v>12.349810075336347</c:v>
                </c:pt>
                <c:pt idx="63">
                  <c:v>12.349810075336347</c:v>
                </c:pt>
                <c:pt idx="64">
                  <c:v>12.349810075336347</c:v>
                </c:pt>
                <c:pt idx="65">
                  <c:v>12.349810075336347</c:v>
                </c:pt>
                <c:pt idx="66">
                  <c:v>12.349810075336347</c:v>
                </c:pt>
                <c:pt idx="67">
                  <c:v>12.349810075336347</c:v>
                </c:pt>
                <c:pt idx="68">
                  <c:v>12.349810075336347</c:v>
                </c:pt>
                <c:pt idx="69">
                  <c:v>12.349810075336347</c:v>
                </c:pt>
                <c:pt idx="70">
                  <c:v>12.349810075336347</c:v>
                </c:pt>
                <c:pt idx="71">
                  <c:v>12.349810075336347</c:v>
                </c:pt>
                <c:pt idx="72">
                  <c:v>12.349810075336347</c:v>
                </c:pt>
                <c:pt idx="73">
                  <c:v>12.349810075336347</c:v>
                </c:pt>
                <c:pt idx="74">
                  <c:v>12.349810075336347</c:v>
                </c:pt>
                <c:pt idx="75">
                  <c:v>12.349810075336347</c:v>
                </c:pt>
                <c:pt idx="76">
                  <c:v>12.349810075336347</c:v>
                </c:pt>
                <c:pt idx="77">
                  <c:v>12.349810075336347</c:v>
                </c:pt>
                <c:pt idx="78">
                  <c:v>12.349810075336347</c:v>
                </c:pt>
                <c:pt idx="79">
                  <c:v>12.349810075336347</c:v>
                </c:pt>
                <c:pt idx="80">
                  <c:v>12.349810075336347</c:v>
                </c:pt>
                <c:pt idx="81">
                  <c:v>12.349810075336347</c:v>
                </c:pt>
                <c:pt idx="82">
                  <c:v>12.349810075336347</c:v>
                </c:pt>
                <c:pt idx="83">
                  <c:v>12.349810075336347</c:v>
                </c:pt>
                <c:pt idx="84">
                  <c:v>12.349810075336347</c:v>
                </c:pt>
                <c:pt idx="85">
                  <c:v>12.349810075336347</c:v>
                </c:pt>
                <c:pt idx="86">
                  <c:v>12.349810075336347</c:v>
                </c:pt>
                <c:pt idx="87">
                  <c:v>12.349810075336347</c:v>
                </c:pt>
                <c:pt idx="88">
                  <c:v>12.349810075336347</c:v>
                </c:pt>
                <c:pt idx="89">
                  <c:v>12.349810075336347</c:v>
                </c:pt>
                <c:pt idx="90">
                  <c:v>12.349810075336347</c:v>
                </c:pt>
                <c:pt idx="91">
                  <c:v>12.349810075336347</c:v>
                </c:pt>
                <c:pt idx="92">
                  <c:v>12.349810075336347</c:v>
                </c:pt>
                <c:pt idx="93">
                  <c:v>12.349810075336347</c:v>
                </c:pt>
                <c:pt idx="94">
                  <c:v>12.349810075336347</c:v>
                </c:pt>
                <c:pt idx="95">
                  <c:v>12.349810075336347</c:v>
                </c:pt>
                <c:pt idx="96">
                  <c:v>12.349810075336347</c:v>
                </c:pt>
                <c:pt idx="97">
                  <c:v>12.349810075336347</c:v>
                </c:pt>
                <c:pt idx="98">
                  <c:v>12.349810075336347</c:v>
                </c:pt>
                <c:pt idx="99">
                  <c:v>12.349810075336347</c:v>
                </c:pt>
                <c:pt idx="100">
                  <c:v>12.349810075336347</c:v>
                </c:pt>
                <c:pt idx="101">
                  <c:v>12.349810075336347</c:v>
                </c:pt>
                <c:pt idx="102">
                  <c:v>12.349810075336347</c:v>
                </c:pt>
                <c:pt idx="103">
                  <c:v>12.349810075336347</c:v>
                </c:pt>
                <c:pt idx="104">
                  <c:v>12.349810075336347</c:v>
                </c:pt>
                <c:pt idx="105">
                  <c:v>12.349810075336347</c:v>
                </c:pt>
                <c:pt idx="106">
                  <c:v>12.349810075336347</c:v>
                </c:pt>
                <c:pt idx="107">
                  <c:v>12.349810075336347</c:v>
                </c:pt>
                <c:pt idx="108">
                  <c:v>12.349810075336347</c:v>
                </c:pt>
                <c:pt idx="109">
                  <c:v>12.349810075336347</c:v>
                </c:pt>
                <c:pt idx="110">
                  <c:v>12.349810075336347</c:v>
                </c:pt>
                <c:pt idx="111">
                  <c:v>12.349810075336347</c:v>
                </c:pt>
                <c:pt idx="112">
                  <c:v>12.349810075336347</c:v>
                </c:pt>
                <c:pt idx="113">
                  <c:v>12.349810075336347</c:v>
                </c:pt>
                <c:pt idx="114">
                  <c:v>12.349810075336347</c:v>
                </c:pt>
                <c:pt idx="115">
                  <c:v>12.349810075336347</c:v>
                </c:pt>
                <c:pt idx="116">
                  <c:v>12.349810075336347</c:v>
                </c:pt>
                <c:pt idx="117">
                  <c:v>12.349810075336347</c:v>
                </c:pt>
                <c:pt idx="118">
                  <c:v>12.349810075336347</c:v>
                </c:pt>
                <c:pt idx="119">
                  <c:v>12.349810075336347</c:v>
                </c:pt>
                <c:pt idx="120">
                  <c:v>12.349810075336347</c:v>
                </c:pt>
                <c:pt idx="121">
                  <c:v>12.349810075336347</c:v>
                </c:pt>
                <c:pt idx="122">
                  <c:v>12.349810075336347</c:v>
                </c:pt>
                <c:pt idx="123">
                  <c:v>12.349810075336347</c:v>
                </c:pt>
                <c:pt idx="124">
                  <c:v>12.349810075336347</c:v>
                </c:pt>
                <c:pt idx="125">
                  <c:v>12.349810075336347</c:v>
                </c:pt>
                <c:pt idx="126">
                  <c:v>12.349810075336347</c:v>
                </c:pt>
                <c:pt idx="127">
                  <c:v>12.349810075336347</c:v>
                </c:pt>
                <c:pt idx="128">
                  <c:v>12.349810075336347</c:v>
                </c:pt>
                <c:pt idx="129">
                  <c:v>12.349810075336347</c:v>
                </c:pt>
                <c:pt idx="130">
                  <c:v>12.349810075336347</c:v>
                </c:pt>
                <c:pt idx="131">
                  <c:v>12.349810075336347</c:v>
                </c:pt>
                <c:pt idx="132">
                  <c:v>12.349810075336347</c:v>
                </c:pt>
                <c:pt idx="133">
                  <c:v>12.349810075336347</c:v>
                </c:pt>
                <c:pt idx="134">
                  <c:v>12.349810075336347</c:v>
                </c:pt>
                <c:pt idx="135">
                  <c:v>12.349810075336347</c:v>
                </c:pt>
                <c:pt idx="136">
                  <c:v>12.349810075336347</c:v>
                </c:pt>
                <c:pt idx="137">
                  <c:v>12.349810075336347</c:v>
                </c:pt>
                <c:pt idx="138">
                  <c:v>12.349810075336347</c:v>
                </c:pt>
                <c:pt idx="139">
                  <c:v>12.349810075336347</c:v>
                </c:pt>
                <c:pt idx="140">
                  <c:v>12.349810075336347</c:v>
                </c:pt>
                <c:pt idx="141">
                  <c:v>12.349810075336347</c:v>
                </c:pt>
                <c:pt idx="142">
                  <c:v>12.349810075336347</c:v>
                </c:pt>
                <c:pt idx="143">
                  <c:v>12.349810075336347</c:v>
                </c:pt>
                <c:pt idx="144">
                  <c:v>12.349810075336347</c:v>
                </c:pt>
                <c:pt idx="145">
                  <c:v>12.349810075336347</c:v>
                </c:pt>
                <c:pt idx="146">
                  <c:v>12.349810075336347</c:v>
                </c:pt>
                <c:pt idx="147">
                  <c:v>12.349810075336347</c:v>
                </c:pt>
                <c:pt idx="148">
                  <c:v>12.349810075336347</c:v>
                </c:pt>
                <c:pt idx="149">
                  <c:v>12.349810075336347</c:v>
                </c:pt>
                <c:pt idx="150">
                  <c:v>12.349810075336347</c:v>
                </c:pt>
                <c:pt idx="151">
                  <c:v>12.349810075336347</c:v>
                </c:pt>
                <c:pt idx="152">
                  <c:v>12.349810075336347</c:v>
                </c:pt>
                <c:pt idx="153">
                  <c:v>12.349810075336347</c:v>
                </c:pt>
                <c:pt idx="154">
                  <c:v>12.349810075336347</c:v>
                </c:pt>
                <c:pt idx="155">
                  <c:v>12.349810075336347</c:v>
                </c:pt>
                <c:pt idx="156">
                  <c:v>12.349810075336347</c:v>
                </c:pt>
                <c:pt idx="157">
                  <c:v>12.349810075336347</c:v>
                </c:pt>
                <c:pt idx="158">
                  <c:v>12.349810075336347</c:v>
                </c:pt>
                <c:pt idx="159">
                  <c:v>12.349810075336347</c:v>
                </c:pt>
                <c:pt idx="160">
                  <c:v>12.349810075336347</c:v>
                </c:pt>
                <c:pt idx="161">
                  <c:v>12.349810075336347</c:v>
                </c:pt>
                <c:pt idx="162">
                  <c:v>12.349810075336347</c:v>
                </c:pt>
                <c:pt idx="163">
                  <c:v>12.349810075336347</c:v>
                </c:pt>
                <c:pt idx="164">
                  <c:v>12.349810075336347</c:v>
                </c:pt>
                <c:pt idx="165">
                  <c:v>12.349810075336347</c:v>
                </c:pt>
                <c:pt idx="166">
                  <c:v>12.349810075336347</c:v>
                </c:pt>
                <c:pt idx="167">
                  <c:v>12.349810075336347</c:v>
                </c:pt>
                <c:pt idx="168">
                  <c:v>12.349810075336347</c:v>
                </c:pt>
                <c:pt idx="169">
                  <c:v>12.349810075336347</c:v>
                </c:pt>
                <c:pt idx="170">
                  <c:v>12.349810075336347</c:v>
                </c:pt>
                <c:pt idx="171">
                  <c:v>12.349810075336347</c:v>
                </c:pt>
                <c:pt idx="172">
                  <c:v>12.349810075336347</c:v>
                </c:pt>
                <c:pt idx="173">
                  <c:v>12.349810075336347</c:v>
                </c:pt>
                <c:pt idx="174">
                  <c:v>12.349810075336347</c:v>
                </c:pt>
                <c:pt idx="175">
                  <c:v>12.349810075336347</c:v>
                </c:pt>
                <c:pt idx="176">
                  <c:v>12.349810075336347</c:v>
                </c:pt>
                <c:pt idx="177">
                  <c:v>12.349810075336347</c:v>
                </c:pt>
                <c:pt idx="178">
                  <c:v>12.349810075336347</c:v>
                </c:pt>
                <c:pt idx="179">
                  <c:v>12.349810075336347</c:v>
                </c:pt>
                <c:pt idx="180">
                  <c:v>12.349810075336347</c:v>
                </c:pt>
                <c:pt idx="181">
                  <c:v>12.349810075336347</c:v>
                </c:pt>
                <c:pt idx="182">
                  <c:v>12.349810075336347</c:v>
                </c:pt>
                <c:pt idx="183">
                  <c:v>12.349810075336347</c:v>
                </c:pt>
                <c:pt idx="184">
                  <c:v>12.349810075336347</c:v>
                </c:pt>
                <c:pt idx="185">
                  <c:v>12.349810075336347</c:v>
                </c:pt>
                <c:pt idx="186">
                  <c:v>12.349810075336347</c:v>
                </c:pt>
                <c:pt idx="187">
                  <c:v>12.349810075336347</c:v>
                </c:pt>
                <c:pt idx="188">
                  <c:v>12.349810075336347</c:v>
                </c:pt>
                <c:pt idx="189">
                  <c:v>12.349810075336347</c:v>
                </c:pt>
                <c:pt idx="190">
                  <c:v>12.349810075336347</c:v>
                </c:pt>
                <c:pt idx="191">
                  <c:v>12.349810075336347</c:v>
                </c:pt>
                <c:pt idx="192">
                  <c:v>12.349810075336347</c:v>
                </c:pt>
                <c:pt idx="193">
                  <c:v>12.349810075336347</c:v>
                </c:pt>
                <c:pt idx="194">
                  <c:v>12.349810075336347</c:v>
                </c:pt>
                <c:pt idx="195">
                  <c:v>12.349810075336347</c:v>
                </c:pt>
                <c:pt idx="196">
                  <c:v>12.349810075336347</c:v>
                </c:pt>
                <c:pt idx="197">
                  <c:v>12.349810075336347</c:v>
                </c:pt>
                <c:pt idx="198">
                  <c:v>12.349810075336347</c:v>
                </c:pt>
                <c:pt idx="199">
                  <c:v>12.349810075336347</c:v>
                </c:pt>
                <c:pt idx="200">
                  <c:v>12.349810075336347</c:v>
                </c:pt>
                <c:pt idx="201">
                  <c:v>12.349810075336347</c:v>
                </c:pt>
                <c:pt idx="202">
                  <c:v>12.349810075336347</c:v>
                </c:pt>
                <c:pt idx="203">
                  <c:v>12.349810075336347</c:v>
                </c:pt>
                <c:pt idx="204">
                  <c:v>12.349810075336347</c:v>
                </c:pt>
                <c:pt idx="205">
                  <c:v>12.349810075336347</c:v>
                </c:pt>
                <c:pt idx="206">
                  <c:v>12.349810075336347</c:v>
                </c:pt>
                <c:pt idx="207">
                  <c:v>12.349810075336347</c:v>
                </c:pt>
                <c:pt idx="208">
                  <c:v>12.349810075336347</c:v>
                </c:pt>
                <c:pt idx="209">
                  <c:v>12.349810075336347</c:v>
                </c:pt>
                <c:pt idx="210">
                  <c:v>12.349810075336347</c:v>
                </c:pt>
                <c:pt idx="211">
                  <c:v>12.349810075336347</c:v>
                </c:pt>
                <c:pt idx="212">
                  <c:v>12.349810075336347</c:v>
                </c:pt>
                <c:pt idx="213">
                  <c:v>12.349810075336347</c:v>
                </c:pt>
                <c:pt idx="214">
                  <c:v>12.349810075336347</c:v>
                </c:pt>
                <c:pt idx="215">
                  <c:v>12.349810075336347</c:v>
                </c:pt>
                <c:pt idx="216">
                  <c:v>12.349810075336347</c:v>
                </c:pt>
                <c:pt idx="217">
                  <c:v>12.349810075336347</c:v>
                </c:pt>
                <c:pt idx="218">
                  <c:v>12.349810075336347</c:v>
                </c:pt>
                <c:pt idx="219">
                  <c:v>12.349810075336347</c:v>
                </c:pt>
                <c:pt idx="220">
                  <c:v>12.349810075336347</c:v>
                </c:pt>
                <c:pt idx="221">
                  <c:v>12.349810075336347</c:v>
                </c:pt>
                <c:pt idx="222">
                  <c:v>12.349810075336347</c:v>
                </c:pt>
                <c:pt idx="223">
                  <c:v>12.349810075336347</c:v>
                </c:pt>
                <c:pt idx="224">
                  <c:v>12.349810075336347</c:v>
                </c:pt>
                <c:pt idx="225">
                  <c:v>12.349810075336347</c:v>
                </c:pt>
                <c:pt idx="226">
                  <c:v>12.349810075336347</c:v>
                </c:pt>
                <c:pt idx="227">
                  <c:v>12.349810075336347</c:v>
                </c:pt>
                <c:pt idx="228">
                  <c:v>12.349810075336347</c:v>
                </c:pt>
                <c:pt idx="229">
                  <c:v>12.349810075336347</c:v>
                </c:pt>
                <c:pt idx="230">
                  <c:v>12.349810075336347</c:v>
                </c:pt>
                <c:pt idx="231">
                  <c:v>12.349810075336347</c:v>
                </c:pt>
                <c:pt idx="232">
                  <c:v>12.349810075336347</c:v>
                </c:pt>
                <c:pt idx="233">
                  <c:v>12.349810075336347</c:v>
                </c:pt>
                <c:pt idx="234">
                  <c:v>12.349810075336347</c:v>
                </c:pt>
                <c:pt idx="235">
                  <c:v>12.349810075336347</c:v>
                </c:pt>
                <c:pt idx="236">
                  <c:v>12.349810075336347</c:v>
                </c:pt>
                <c:pt idx="237">
                  <c:v>12.349810075336347</c:v>
                </c:pt>
                <c:pt idx="238">
                  <c:v>12.349810075336347</c:v>
                </c:pt>
                <c:pt idx="239">
                  <c:v>12.349810075336347</c:v>
                </c:pt>
                <c:pt idx="240">
                  <c:v>12.349810075336347</c:v>
                </c:pt>
                <c:pt idx="241">
                  <c:v>12.349810075336347</c:v>
                </c:pt>
                <c:pt idx="242">
                  <c:v>12.349810075336347</c:v>
                </c:pt>
                <c:pt idx="243">
                  <c:v>12.349810075336347</c:v>
                </c:pt>
                <c:pt idx="244">
                  <c:v>12.349810075336347</c:v>
                </c:pt>
                <c:pt idx="245">
                  <c:v>12.349810075336347</c:v>
                </c:pt>
                <c:pt idx="246">
                  <c:v>12.349810075336347</c:v>
                </c:pt>
                <c:pt idx="247">
                  <c:v>12.349810075336347</c:v>
                </c:pt>
                <c:pt idx="248">
                  <c:v>12.349810075336347</c:v>
                </c:pt>
                <c:pt idx="249">
                  <c:v>12.349810075336347</c:v>
                </c:pt>
                <c:pt idx="250">
                  <c:v>12.349810075336347</c:v>
                </c:pt>
                <c:pt idx="251">
                  <c:v>12.349810075336347</c:v>
                </c:pt>
                <c:pt idx="252">
                  <c:v>12.349810075336347</c:v>
                </c:pt>
                <c:pt idx="253">
                  <c:v>12.349810075336347</c:v>
                </c:pt>
                <c:pt idx="254">
                  <c:v>12.349810075336347</c:v>
                </c:pt>
                <c:pt idx="255">
                  <c:v>12.349810075336347</c:v>
                </c:pt>
                <c:pt idx="256">
                  <c:v>12.349810075336347</c:v>
                </c:pt>
                <c:pt idx="257">
                  <c:v>12.349810075336347</c:v>
                </c:pt>
                <c:pt idx="258">
                  <c:v>12.349810075336347</c:v>
                </c:pt>
                <c:pt idx="259">
                  <c:v>12.349810075336347</c:v>
                </c:pt>
                <c:pt idx="260">
                  <c:v>12.349810075336347</c:v>
                </c:pt>
                <c:pt idx="261">
                  <c:v>12.349810075336347</c:v>
                </c:pt>
                <c:pt idx="262">
                  <c:v>12.349810075336347</c:v>
                </c:pt>
                <c:pt idx="263">
                  <c:v>12.349810075336347</c:v>
                </c:pt>
                <c:pt idx="264">
                  <c:v>12.349810075336347</c:v>
                </c:pt>
                <c:pt idx="265">
                  <c:v>12.349810075336347</c:v>
                </c:pt>
                <c:pt idx="266">
                  <c:v>12.349810075336347</c:v>
                </c:pt>
                <c:pt idx="267">
                  <c:v>12.349810075336347</c:v>
                </c:pt>
                <c:pt idx="268">
                  <c:v>12.349810075336347</c:v>
                </c:pt>
                <c:pt idx="269">
                  <c:v>12.349810075336347</c:v>
                </c:pt>
                <c:pt idx="270">
                  <c:v>12.349810075336347</c:v>
                </c:pt>
                <c:pt idx="271">
                  <c:v>12.349810075336347</c:v>
                </c:pt>
                <c:pt idx="272">
                  <c:v>12.349810075336347</c:v>
                </c:pt>
                <c:pt idx="273">
                  <c:v>12.349810075336347</c:v>
                </c:pt>
                <c:pt idx="274">
                  <c:v>12.349810075336347</c:v>
                </c:pt>
                <c:pt idx="275">
                  <c:v>12.349810075336347</c:v>
                </c:pt>
                <c:pt idx="276">
                  <c:v>12.349810075336347</c:v>
                </c:pt>
                <c:pt idx="277">
                  <c:v>12.349810075336347</c:v>
                </c:pt>
                <c:pt idx="278">
                  <c:v>12.349810075336347</c:v>
                </c:pt>
                <c:pt idx="279">
                  <c:v>12.349810075336347</c:v>
                </c:pt>
                <c:pt idx="280">
                  <c:v>12.349810075336347</c:v>
                </c:pt>
                <c:pt idx="281">
                  <c:v>12.349810075336347</c:v>
                </c:pt>
                <c:pt idx="282">
                  <c:v>12.349810075336347</c:v>
                </c:pt>
                <c:pt idx="283">
                  <c:v>12.349810075336347</c:v>
                </c:pt>
                <c:pt idx="284">
                  <c:v>12.349810075336347</c:v>
                </c:pt>
                <c:pt idx="285">
                  <c:v>12.349810075336347</c:v>
                </c:pt>
                <c:pt idx="286">
                  <c:v>12.349810075336347</c:v>
                </c:pt>
                <c:pt idx="287">
                  <c:v>12.349810075336347</c:v>
                </c:pt>
                <c:pt idx="288">
                  <c:v>12.349810075336347</c:v>
                </c:pt>
                <c:pt idx="289">
                  <c:v>12.349810075336347</c:v>
                </c:pt>
                <c:pt idx="290">
                  <c:v>12.349810075336347</c:v>
                </c:pt>
                <c:pt idx="291">
                  <c:v>12.349810075336347</c:v>
                </c:pt>
                <c:pt idx="292">
                  <c:v>12.349810075336347</c:v>
                </c:pt>
                <c:pt idx="293">
                  <c:v>12.349810075336347</c:v>
                </c:pt>
                <c:pt idx="294">
                  <c:v>12.349810075336347</c:v>
                </c:pt>
                <c:pt idx="295">
                  <c:v>12.349810075336347</c:v>
                </c:pt>
                <c:pt idx="296">
                  <c:v>12.349810075336347</c:v>
                </c:pt>
                <c:pt idx="297">
                  <c:v>12.349810075336347</c:v>
                </c:pt>
                <c:pt idx="298">
                  <c:v>12.349810075336347</c:v>
                </c:pt>
                <c:pt idx="299">
                  <c:v>12.349810075336345</c:v>
                </c:pt>
                <c:pt idx="300">
                  <c:v>12.349810075336343</c:v>
                </c:pt>
                <c:pt idx="301">
                  <c:v>12.349810075336341</c:v>
                </c:pt>
                <c:pt idx="302">
                  <c:v>12.34981007533634</c:v>
                </c:pt>
                <c:pt idx="303">
                  <c:v>12.349810075336338</c:v>
                </c:pt>
                <c:pt idx="304">
                  <c:v>12.349810075336336</c:v>
                </c:pt>
                <c:pt idx="305">
                  <c:v>12.349810075336334</c:v>
                </c:pt>
                <c:pt idx="306">
                  <c:v>12.349810075336332</c:v>
                </c:pt>
                <c:pt idx="307">
                  <c:v>12.349810075336331</c:v>
                </c:pt>
                <c:pt idx="308">
                  <c:v>12.349810075336327</c:v>
                </c:pt>
                <c:pt idx="309">
                  <c:v>12.349810075336324</c:v>
                </c:pt>
                <c:pt idx="310">
                  <c:v>12.34981007533632</c:v>
                </c:pt>
                <c:pt idx="311">
                  <c:v>12.349810075336316</c:v>
                </c:pt>
                <c:pt idx="312">
                  <c:v>12.349810075336311</c:v>
                </c:pt>
                <c:pt idx="313">
                  <c:v>12.349810075336306</c:v>
                </c:pt>
                <c:pt idx="314">
                  <c:v>12.349810075336299</c:v>
                </c:pt>
                <c:pt idx="315">
                  <c:v>12.349810075336292</c:v>
                </c:pt>
                <c:pt idx="316">
                  <c:v>12.349810075336283</c:v>
                </c:pt>
                <c:pt idx="317">
                  <c:v>12.349810075336274</c:v>
                </c:pt>
                <c:pt idx="318">
                  <c:v>12.349810075336263</c:v>
                </c:pt>
                <c:pt idx="319">
                  <c:v>12.349810075336251</c:v>
                </c:pt>
                <c:pt idx="320">
                  <c:v>12.349810075336237</c:v>
                </c:pt>
                <c:pt idx="321">
                  <c:v>12.349810075336221</c:v>
                </c:pt>
                <c:pt idx="322">
                  <c:v>12.349810075336203</c:v>
                </c:pt>
                <c:pt idx="323">
                  <c:v>12.349810075336181</c:v>
                </c:pt>
                <c:pt idx="324">
                  <c:v>12.349810075336158</c:v>
                </c:pt>
                <c:pt idx="325">
                  <c:v>12.349810075336132</c:v>
                </c:pt>
                <c:pt idx="326">
                  <c:v>12.349810075336102</c:v>
                </c:pt>
                <c:pt idx="327">
                  <c:v>12.349810075336066</c:v>
                </c:pt>
                <c:pt idx="328">
                  <c:v>12.349810075336025</c:v>
                </c:pt>
                <c:pt idx="329">
                  <c:v>12.349810075335979</c:v>
                </c:pt>
                <c:pt idx="330">
                  <c:v>12.349810075335927</c:v>
                </c:pt>
                <c:pt idx="331">
                  <c:v>12.349810075335867</c:v>
                </c:pt>
                <c:pt idx="332">
                  <c:v>12.3498100753358</c:v>
                </c:pt>
                <c:pt idx="333">
                  <c:v>12.349810075335721</c:v>
                </c:pt>
                <c:pt idx="334">
                  <c:v>12.349810075335633</c:v>
                </c:pt>
                <c:pt idx="335">
                  <c:v>12.349810075335531</c:v>
                </c:pt>
                <c:pt idx="336">
                  <c:v>12.349810075335416</c:v>
                </c:pt>
                <c:pt idx="337">
                  <c:v>12.349810075335284</c:v>
                </c:pt>
                <c:pt idx="338">
                  <c:v>12.349810075335135</c:v>
                </c:pt>
                <c:pt idx="339">
                  <c:v>12.349810075334965</c:v>
                </c:pt>
                <c:pt idx="340">
                  <c:v>12.349810075334769</c:v>
                </c:pt>
                <c:pt idx="341">
                  <c:v>12.349810075334547</c:v>
                </c:pt>
                <c:pt idx="342">
                  <c:v>12.349810075334293</c:v>
                </c:pt>
                <c:pt idx="343">
                  <c:v>12.349810075334004</c:v>
                </c:pt>
                <c:pt idx="344">
                  <c:v>12.349810075333673</c:v>
                </c:pt>
                <c:pt idx="345">
                  <c:v>12.349810075333295</c:v>
                </c:pt>
                <c:pt idx="346">
                  <c:v>12.349810075332863</c:v>
                </c:pt>
                <c:pt idx="347">
                  <c:v>12.349810075332371</c:v>
                </c:pt>
                <c:pt idx="348">
                  <c:v>12.34981007533181</c:v>
                </c:pt>
                <c:pt idx="349">
                  <c:v>12.349810075331169</c:v>
                </c:pt>
                <c:pt idx="350">
                  <c:v>12.349810075330437</c:v>
                </c:pt>
                <c:pt idx="351">
                  <c:v>12.3498100753296</c:v>
                </c:pt>
                <c:pt idx="352">
                  <c:v>12.349810075328646</c:v>
                </c:pt>
                <c:pt idx="353">
                  <c:v>12.349810075327557</c:v>
                </c:pt>
                <c:pt idx="354">
                  <c:v>12.349810075326314</c:v>
                </c:pt>
                <c:pt idx="355">
                  <c:v>12.349810075324893</c:v>
                </c:pt>
                <c:pt idx="356">
                  <c:v>12.349810075323271</c:v>
                </c:pt>
                <c:pt idx="357">
                  <c:v>12.349810075321418</c:v>
                </c:pt>
                <c:pt idx="358">
                  <c:v>12.349810075319304</c:v>
                </c:pt>
                <c:pt idx="359">
                  <c:v>12.34981007531689</c:v>
                </c:pt>
                <c:pt idx="360">
                  <c:v>12.349810075314133</c:v>
                </c:pt>
                <c:pt idx="361">
                  <c:v>12.349810075310986</c:v>
                </c:pt>
                <c:pt idx="362">
                  <c:v>12.34981007530739</c:v>
                </c:pt>
                <c:pt idx="363">
                  <c:v>12.349810075303285</c:v>
                </c:pt>
                <c:pt idx="364">
                  <c:v>12.349810075298597</c:v>
                </c:pt>
                <c:pt idx="365">
                  <c:v>12.349810075293243</c:v>
                </c:pt>
                <c:pt idx="366">
                  <c:v>12.349810075287129</c:v>
                </c:pt>
                <c:pt idx="367">
                  <c:v>12.349810075280146</c:v>
                </c:pt>
                <c:pt idx="368">
                  <c:v>12.349810075272172</c:v>
                </c:pt>
                <c:pt idx="369">
                  <c:v>12.349810075263065</c:v>
                </c:pt>
                <c:pt idx="370">
                  <c:v>12.349810075252664</c:v>
                </c:pt>
                <c:pt idx="371">
                  <c:v>12.349810075240788</c:v>
                </c:pt>
                <c:pt idx="372">
                  <c:v>12.349810075227223</c:v>
                </c:pt>
                <c:pt idx="373">
                  <c:v>12.349810075211732</c:v>
                </c:pt>
                <c:pt idx="374">
                  <c:v>12.349810075194039</c:v>
                </c:pt>
                <c:pt idx="375">
                  <c:v>12.349810075173833</c:v>
                </c:pt>
                <c:pt idx="376">
                  <c:v>12.349810075150756</c:v>
                </c:pt>
                <c:pt idx="377">
                  <c:v>12.349810075124402</c:v>
                </c:pt>
                <c:pt idx="378">
                  <c:v>12.349810075094306</c:v>
                </c:pt>
                <c:pt idx="379">
                  <c:v>12.349810075059933</c:v>
                </c:pt>
                <c:pt idx="380">
                  <c:v>12.349810075020679</c:v>
                </c:pt>
                <c:pt idx="381">
                  <c:v>12.349810074975849</c:v>
                </c:pt>
                <c:pt idx="382">
                  <c:v>12.349810074924653</c:v>
                </c:pt>
                <c:pt idx="383">
                  <c:v>12.349810074866188</c:v>
                </c:pt>
                <c:pt idx="384">
                  <c:v>12.349810074799421</c:v>
                </c:pt>
                <c:pt idx="385">
                  <c:v>12.349810074723178</c:v>
                </c:pt>
                <c:pt idx="386">
                  <c:v>12.349810074636114</c:v>
                </c:pt>
                <c:pt idx="387">
                  <c:v>12.349810074536693</c:v>
                </c:pt>
                <c:pt idx="388">
                  <c:v>12.349810074423166</c:v>
                </c:pt>
                <c:pt idx="389">
                  <c:v>12.349810074293535</c:v>
                </c:pt>
                <c:pt idx="390">
                  <c:v>12.349810074145516</c:v>
                </c:pt>
                <c:pt idx="391">
                  <c:v>12.349810073976508</c:v>
                </c:pt>
                <c:pt idx="392">
                  <c:v>12.349810073783541</c:v>
                </c:pt>
                <c:pt idx="393">
                  <c:v>12.349810073563223</c:v>
                </c:pt>
                <c:pt idx="394">
                  <c:v>12.349810073311687</c:v>
                </c:pt>
                <c:pt idx="395">
                  <c:v>12.349810073024519</c:v>
                </c:pt>
                <c:pt idx="396">
                  <c:v>12.349810072696684</c:v>
                </c:pt>
                <c:pt idx="397">
                  <c:v>12.349810072322436</c:v>
                </c:pt>
                <c:pt idx="398">
                  <c:v>12.349810071895222</c:v>
                </c:pt>
                <c:pt idx="399">
                  <c:v>12.349810071407568</c:v>
                </c:pt>
                <c:pt idx="400">
                  <c:v>12.349810070850946</c:v>
                </c:pt>
                <c:pt idx="401">
                  <c:v>12.349810070215634</c:v>
                </c:pt>
                <c:pt idx="402">
                  <c:v>12.349810069490543</c:v>
                </c:pt>
                <c:pt idx="403">
                  <c:v>12.349810068663025</c:v>
                </c:pt>
                <c:pt idx="404">
                  <c:v>12.349810067718664</c:v>
                </c:pt>
                <c:pt idx="405">
                  <c:v>12.34981006664102</c:v>
                </c:pt>
                <c:pt idx="406">
                  <c:v>12.349810065411353</c:v>
                </c:pt>
                <c:pt idx="407">
                  <c:v>12.349810064008301</c:v>
                </c:pt>
                <c:pt idx="408">
                  <c:v>12.349810062407515</c:v>
                </c:pt>
                <c:pt idx="409">
                  <c:v>12.349810060581246</c:v>
                </c:pt>
                <c:pt idx="410">
                  <c:v>12.349810058497871</c:v>
                </c:pt>
                <c:pt idx="411">
                  <c:v>12.349810056121358</c:v>
                </c:pt>
                <c:pt idx="412">
                  <c:v>12.349810053410653</c:v>
                </c:pt>
                <c:pt idx="413">
                  <c:v>12.34981005031899</c:v>
                </c:pt>
                <c:pt idx="414">
                  <c:v>12.349810046793095</c:v>
                </c:pt>
                <c:pt idx="415">
                  <c:v>12.349810042772297</c:v>
                </c:pt>
                <c:pt idx="416">
                  <c:v>12.349810038187503</c:v>
                </c:pt>
                <c:pt idx="417">
                  <c:v>12.349810032960033</c:v>
                </c:pt>
                <c:pt idx="418">
                  <c:v>12.349810027000315</c:v>
                </c:pt>
                <c:pt idx="419">
                  <c:v>12.349810020206377</c:v>
                </c:pt>
                <c:pt idx="420">
                  <c:v>12.349810012462154</c:v>
                </c:pt>
                <c:pt idx="421">
                  <c:v>12.349810003635556</c:v>
                </c:pt>
                <c:pt idx="422">
                  <c:v>12.349809993576272</c:v>
                </c:pt>
                <c:pt idx="423">
                  <c:v>12.349809982113289</c:v>
                </c:pt>
                <c:pt idx="424">
                  <c:v>12.349809969052059</c:v>
                </c:pt>
                <c:pt idx="425">
                  <c:v>12.349809954171301</c:v>
                </c:pt>
                <c:pt idx="426">
                  <c:v>12.349809937219359</c:v>
                </c:pt>
                <c:pt idx="427">
                  <c:v>12.349809917910083</c:v>
                </c:pt>
                <c:pt idx="428">
                  <c:v>12.349809895918149</c:v>
                </c:pt>
                <c:pt idx="429">
                  <c:v>12.349809870873758</c:v>
                </c:pt>
                <c:pt idx="430">
                  <c:v>12.349809842356619</c:v>
                </c:pt>
                <c:pt idx="431">
                  <c:v>12.349809809889143</c:v>
                </c:pt>
                <c:pt idx="432">
                  <c:v>12.349809772928726</c:v>
                </c:pt>
                <c:pt idx="433">
                  <c:v>12.349809730858999</c:v>
                </c:pt>
                <c:pt idx="434">
                  <c:v>12.349809682979933</c:v>
                </c:pt>
                <c:pt idx="435">
                  <c:v>12.349809628496629</c:v>
                </c:pt>
                <c:pt idx="436">
                  <c:v>12.349809566506631</c:v>
                </c:pt>
                <c:pt idx="437">
                  <c:v>12.349809495985564</c:v>
                </c:pt>
                <c:pt idx="438">
                  <c:v>12.349809415770901</c:v>
                </c:pt>
                <c:pt idx="439">
                  <c:v>12.349809324543585</c:v>
                </c:pt>
                <c:pt idx="440">
                  <c:v>12.349809220807268</c:v>
                </c:pt>
                <c:pt idx="441">
                  <c:v>12.349809102864826</c:v>
                </c:pt>
                <c:pt idx="442">
                  <c:v>12.349808968791837</c:v>
                </c:pt>
                <c:pt idx="443">
                  <c:v>12.349808816406609</c:v>
                </c:pt>
                <c:pt idx="444">
                  <c:v>12.349808643236333</c:v>
                </c:pt>
                <c:pt idx="445">
                  <c:v>12.349808446478869</c:v>
                </c:pt>
                <c:pt idx="446">
                  <c:v>12.349808222959624</c:v>
                </c:pt>
                <c:pt idx="447">
                  <c:v>12.34980796908288</c:v>
                </c:pt>
                <c:pt idx="448">
                  <c:v>12.349807680776914</c:v>
                </c:pt>
                <c:pt idx="449">
                  <c:v>12.349807353432109</c:v>
                </c:pt>
                <c:pt idx="450">
                  <c:v>12.349806981831184</c:v>
                </c:pt>
                <c:pt idx="451">
                  <c:v>12.349806560070602</c:v>
                </c:pt>
                <c:pt idx="452">
                  <c:v>12.349806081472019</c:v>
                </c:pt>
                <c:pt idx="453">
                  <c:v>12.34980553848259</c:v>
                </c:pt>
                <c:pt idx="454">
                  <c:v>12.349804922562749</c:v>
                </c:pt>
                <c:pt idx="455">
                  <c:v>12.349804224059943</c:v>
                </c:pt>
                <c:pt idx="456">
                  <c:v>12.34980343206662</c:v>
                </c:pt>
                <c:pt idx="457">
                  <c:v>12.349802534260553</c:v>
                </c:pt>
                <c:pt idx="458">
                  <c:v>12.349801516725387</c:v>
                </c:pt>
                <c:pt idx="459">
                  <c:v>12.349800363749049</c:v>
                </c:pt>
                <c:pt idx="460">
                  <c:v>12.349799057597348</c:v>
                </c:pt>
                <c:pt idx="461">
                  <c:v>12.349797578259864</c:v>
                </c:pt>
                <c:pt idx="462">
                  <c:v>12.349795903164811</c:v>
                </c:pt>
                <c:pt idx="463">
                  <c:v>12.349794006859261</c:v>
                </c:pt>
                <c:pt idx="464">
                  <c:v>12.349791860650651</c:v>
                </c:pt>
                <c:pt idx="465">
                  <c:v>12.34978943220508</c:v>
                </c:pt>
                <c:pt idx="466">
                  <c:v>12.349786685097396</c:v>
                </c:pt>
                <c:pt idx="467">
                  <c:v>12.349783578307512</c:v>
                </c:pt>
                <c:pt idx="468">
                  <c:v>12.349780065656809</c:v>
                </c:pt>
                <c:pt idx="469">
                  <c:v>12.349776095177781</c:v>
                </c:pt>
                <c:pt idx="470">
                  <c:v>12.349771608409391</c:v>
                </c:pt>
                <c:pt idx="471">
                  <c:v>12.349766539609769</c:v>
                </c:pt>
                <c:pt idx="472">
                  <c:v>12.349760814877005</c:v>
                </c:pt>
                <c:pt idx="473">
                  <c:v>12.349754351167828</c:v>
                </c:pt>
                <c:pt idx="474">
                  <c:v>12.349747055202901</c:v>
                </c:pt>
                <c:pt idx="475">
                  <c:v>12.349738822246294</c:v>
                </c:pt>
                <c:pt idx="476">
                  <c:v>12.349729534745446</c:v>
                </c:pt>
                <c:pt idx="477">
                  <c:v>12.349719060816506</c:v>
                </c:pt>
                <c:pt idx="478">
                  <c:v>12.349707252558481</c:v>
                </c:pt>
                <c:pt idx="479">
                  <c:v>12.349693944177938</c:v>
                </c:pt>
                <c:pt idx="480">
                  <c:v>12.349678949904233</c:v>
                </c:pt>
                <c:pt idx="481">
                  <c:v>12.349662061673309</c:v>
                </c:pt>
                <c:pt idx="482">
                  <c:v>12.349643046555988</c:v>
                </c:pt>
                <c:pt idx="483">
                  <c:v>12.349621643904394</c:v>
                </c:pt>
                <c:pt idx="484">
                  <c:v>12.349597562187713</c:v>
                </c:pt>
                <c:pt idx="485">
                  <c:v>12.349570475485812</c:v>
                </c:pt>
                <c:pt idx="486">
                  <c:v>12.349540019606383</c:v>
                </c:pt>
                <c:pt idx="487">
                  <c:v>12.349505787788184</c:v>
                </c:pt>
                <c:pt idx="488">
                  <c:v>12.349467325949686</c:v>
                </c:pt>
                <c:pt idx="489">
                  <c:v>12.349424127438827</c:v>
                </c:pt>
                <c:pt idx="490">
                  <c:v>12.349375627235853</c:v>
                </c:pt>
                <c:pt idx="491">
                  <c:v>12.34932119555712</c:v>
                </c:pt>
                <c:pt idx="492">
                  <c:v>12.349260130803495</c:v>
                </c:pt>
                <c:pt idx="493">
                  <c:v>12.349191651792365</c:v>
                </c:pt>
                <c:pt idx="494">
                  <c:v>12.349114889207481</c:v>
                </c:pt>
                <c:pt idx="495">
                  <c:v>12.349028876195703</c:v>
                </c:pt>
                <c:pt idx="496">
                  <c:v>12.348932538034379</c:v>
                </c:pt>
                <c:pt idx="497">
                  <c:v>12.348824680787427</c:v>
                </c:pt>
                <c:pt idx="498">
                  <c:v>12.348703978862265</c:v>
                </c:pt>
                <c:pt idx="499">
                  <c:v>12.348568961373624</c:v>
                </c:pt>
                <c:pt idx="500">
                  <c:v>12.348417997213875</c:v>
                </c:pt>
                <c:pt idx="501">
                  <c:v>12.348249278722877</c:v>
                </c:pt>
                <c:pt idx="502">
                  <c:v>12.348060803843648</c:v>
                </c:pt>
                <c:pt idx="503">
                  <c:v>12.347850356643185</c:v>
                </c:pt>
                <c:pt idx="504">
                  <c:v>12.34761548607073</c:v>
                </c:pt>
                <c:pt idx="505">
                  <c:v>12.34735348281872</c:v>
                </c:pt>
                <c:pt idx="506">
                  <c:v>12.347061354144584</c:v>
                </c:pt>
                <c:pt idx="507">
                  <c:v>12.346735796504484</c:v>
                </c:pt>
                <c:pt idx="508">
                  <c:v>12.34637316584333</c:v>
                </c:pt>
                <c:pt idx="509">
                  <c:v>12.345969445378723</c:v>
                </c:pt>
                <c:pt idx="510">
                  <c:v>12.345520210710268</c:v>
                </c:pt>
                <c:pt idx="511">
                  <c:v>12.345020592079932</c:v>
                </c:pt>
                <c:pt idx="512">
                  <c:v>12.344465233603925</c:v>
                </c:pt>
                <c:pt idx="513">
                  <c:v>12.343848249292224</c:v>
                </c:pt>
                <c:pt idx="514">
                  <c:v>12.343163175668373</c:v>
                </c:pt>
                <c:pt idx="515">
                  <c:v>12.342402920799858</c:v>
                </c:pt>
                <c:pt idx="516">
                  <c:v>12.34155970954833</c:v>
                </c:pt>
                <c:pt idx="517">
                  <c:v>12.3406250248495</c:v>
                </c:pt>
                <c:pt idx="518">
                  <c:v>12.339589544834825</c:v>
                </c:pt>
                <c:pt idx="519">
                  <c:v>12.338443075611519</c:v>
                </c:pt>
                <c:pt idx="520">
                  <c:v>12.337174479524133</c:v>
                </c:pt>
                <c:pt idx="521">
                  <c:v>12.33577159873033</c:v>
                </c:pt>
                <c:pt idx="522">
                  <c:v>12.334221173935779</c:v>
                </c:pt>
                <c:pt idx="523">
                  <c:v>12.33250875814878</c:v>
                </c:pt>
                <c:pt idx="524">
                  <c:v>12.330618625334472</c:v>
                </c:pt>
                <c:pt idx="525">
                  <c:v>12.328533673871805</c:v>
                </c:pt>
                <c:pt idx="526">
                  <c:v>12.326235324744168</c:v>
                </c:pt>
                <c:pt idx="527">
                  <c:v>12.323703414427019</c:v>
                </c:pt>
                <c:pt idx="528">
                  <c:v>12.320916082473561</c:v>
                </c:pt>
                <c:pt idx="529">
                  <c:v>12.31784965384268</c:v>
                </c:pt>
                <c:pt idx="530">
                  <c:v>12.314478516062497</c:v>
                </c:pt>
                <c:pt idx="531">
                  <c:v>12.310774991378326</c:v>
                </c:pt>
                <c:pt idx="532">
                  <c:v>12.306709204095865</c:v>
                </c:pt>
                <c:pt idx="533">
                  <c:v>12.302248943399483</c:v>
                </c:pt>
                <c:pt idx="534">
                  <c:v>12.297359522001615</c:v>
                </c:pt>
                <c:pt idx="535">
                  <c:v>12.292003631062995</c:v>
                </c:pt>
                <c:pt idx="536">
                  <c:v>12.286141191914636</c:v>
                </c:pt>
                <c:pt idx="537">
                  <c:v>12.279729205211416</c:v>
                </c:pt>
                <c:pt idx="538">
                  <c:v>12.272721598253689</c:v>
                </c:pt>
                <c:pt idx="539">
                  <c:v>12.265069071327527</c:v>
                </c:pt>
                <c:pt idx="540">
                  <c:v>12.25671894403566</c:v>
                </c:pt>
                <c:pt idx="541">
                  <c:v>12.247615002719735</c:v>
                </c:pt>
                <c:pt idx="542">
                  <c:v>12.237697350209489</c:v>
                </c:pt>
                <c:pt idx="543">
                  <c:v>12.226902259275246</c:v>
                </c:pt>
                <c:pt idx="544">
                  <c:v>12.215162031306033</c:v>
                </c:pt>
                <c:pt idx="545">
                  <c:v>12.202404861885357</c:v>
                </c:pt>
                <c:pt idx="546">
                  <c:v>12.1885547150892</c:v>
                </c:pt>
                <c:pt idx="547">
                  <c:v>12.173531208484553</c:v>
                </c:pt>
                <c:pt idx="548">
                  <c:v>12.15724951096011</c:v>
                </c:pt>
                <c:pt idx="549">
                  <c:v>12.139620255671641</c:v>
                </c:pt>
                <c:pt idx="550">
                  <c:v>12.120549470530893</c:v>
                </c:pt>
                <c:pt idx="551">
                  <c:v>12.099938528806142</c:v>
                </c:pt>
                <c:pt idx="552">
                  <c:v>12.077684122532077</c:v>
                </c:pt>
                <c:pt idx="553">
                  <c:v>12.053678261543531</c:v>
                </c:pt>
                <c:pt idx="554">
                  <c:v>12.027808301048571</c:v>
                </c:pt>
                <c:pt idx="555">
                  <c:v>11.999957000738142</c:v>
                </c:pt>
                <c:pt idx="556">
                  <c:v>11.970002618488241</c:v>
                </c:pt>
                <c:pt idx="557">
                  <c:v>11.937819041742694</c:v>
                </c:pt>
                <c:pt idx="558">
                  <c:v>11.903275959666097</c:v>
                </c:pt>
                <c:pt idx="559">
                  <c:v>11.866239079123345</c:v>
                </c:pt>
                <c:pt idx="560">
                  <c:v>11.826570387470378</c:v>
                </c:pt>
                <c:pt idx="561">
                  <c:v>11.78412846502628</c:v>
                </c:pt>
                <c:pt idx="562">
                  <c:v>11.738768849935767</c:v>
                </c:pt>
                <c:pt idx="563">
                  <c:v>11.690344457919625</c:v>
                </c:pt>
                <c:pt idx="564">
                  <c:v>11.638706059145386</c:v>
                </c:pt>
                <c:pt idx="565">
                  <c:v>11.583702814128168</c:v>
                </c:pt>
                <c:pt idx="566">
                  <c:v>11.525182870189775</c:v>
                </c:pt>
                <c:pt idx="567">
                  <c:v>11.462994019560435</c:v>
                </c:pt>
                <c:pt idx="568">
                  <c:v>11.39698441970082</c:v>
                </c:pt>
                <c:pt idx="569">
                  <c:v>11.32700337585147</c:v>
                </c:pt>
                <c:pt idx="570">
                  <c:v>11.252902185182869</c:v>
                </c:pt>
                <c:pt idx="571">
                  <c:v>11.174535041223416</c:v>
                </c:pt>
                <c:pt idx="572">
                  <c:v>11.091759996487111</c:v>
                </c:pt>
                <c:pt idx="573">
                  <c:v>11.004439980411455</c:v>
                </c:pt>
                <c:pt idx="574">
                  <c:v>10.912443868854174</c:v>
                </c:pt>
                <c:pt idx="575">
                  <c:v>10.815647600491326</c:v>
                </c:pt>
                <c:pt idx="576">
                  <c:v>10.713935334517219</c:v>
                </c:pt>
                <c:pt idx="577">
                  <c:v>10.607200643077913</c:v>
                </c:pt>
                <c:pt idx="578">
                  <c:v>10.495347730886072</c:v>
                </c:pt>
                <c:pt idx="579">
                  <c:v>10.378292673478052</c:v>
                </c:pt>
                <c:pt idx="580">
                  <c:v>10.255964664598732</c:v>
                </c:pt>
                <c:pt idx="581">
                  <c:v>10.128307262251015</c:v>
                </c:pt>
                <c:pt idx="582">
                  <c:v>9.9952796220421067</c:v>
                </c:pt>
                <c:pt idx="583">
                  <c:v>9.8568577056154236</c:v>
                </c:pt>
                <c:pt idx="584">
                  <c:v>9.713035451194175</c:v>
                </c:pt>
                <c:pt idx="585">
                  <c:v>9.5638258925997057</c:v>
                </c:pt>
                <c:pt idx="586">
                  <c:v>9.4092622125643501</c:v>
                </c:pt>
                <c:pt idx="587">
                  <c:v>9.249398715754662</c:v>
                </c:pt>
                <c:pt idx="588">
                  <c:v>9.0843117066757806</c:v>
                </c:pt>
                <c:pt idx="589">
                  <c:v>8.9141002575599959</c:v>
                </c:pt>
                <c:pt idx="590">
                  <c:v>8.7388868514695872</c:v>
                </c:pt>
                <c:pt idx="591">
                  <c:v>8.5588178861812683</c:v>
                </c:pt>
                <c:pt idx="592">
                  <c:v>8.3740640249805303</c:v>
                </c:pt>
                <c:pt idx="593">
                  <c:v>8.184820381289331</c:v>
                </c:pt>
                <c:pt idx="594">
                  <c:v>7.9913065250874418</c:v>
                </c:pt>
                <c:pt idx="595">
                  <c:v>7.7937663003700104</c:v>
                </c:pt>
                <c:pt idx="596">
                  <c:v>7.5924674444111568</c:v>
                </c:pt>
                <c:pt idx="597">
                  <c:v>7.3877010013707247</c:v>
                </c:pt>
                <c:pt idx="598">
                  <c:v>7.1797805247789945</c:v>
                </c:pt>
                <c:pt idx="599">
                  <c:v>6.9690410656473123</c:v>
                </c:pt>
                <c:pt idx="600">
                  <c:v>6.755837945361133</c:v>
                </c:pt>
                <c:pt idx="601">
                  <c:v>6.5405453150905482</c:v>
                </c:pt>
                <c:pt idx="602">
                  <c:v>6.3235545061713383</c:v>
                </c:pt>
                <c:pt idx="603">
                  <c:v>6.1052721787312754</c:v>
                </c:pt>
                <c:pt idx="604">
                  <c:v>5.8861182787215354</c:v>
                </c:pt>
                <c:pt idx="605">
                  <c:v>5.6665238164170004</c:v>
                </c:pt>
                <c:pt idx="606">
                  <c:v>5.4469284823238358</c:v>
                </c:pt>
                <c:pt idx="607">
                  <c:v>5.2277781192269721</c:v>
                </c:pt>
                <c:pt idx="608">
                  <c:v>5.0095220717710376</c:v>
                </c:pt>
                <c:pt idx="609">
                  <c:v>4.7926104374420113</c:v>
                </c:pt>
                <c:pt idx="610">
                  <c:v>4.5774912450496554</c:v>
                </c:pt>
                <c:pt idx="611">
                  <c:v>4.3646075887503502</c:v>
                </c:pt>
                <c:pt idx="612">
                  <c:v>4.1543947472466396</c:v>
                </c:pt>
                <c:pt idx="613">
                  <c:v>3.9472773190079034</c:v>
                </c:pt>
                <c:pt idx="614">
                  <c:v>3.7436664051356394</c:v>
                </c:pt>
                <c:pt idx="615">
                  <c:v>3.5439568718129473</c:v>
                </c:pt>
                <c:pt idx="616">
                  <c:v>3.3485247241046432</c:v>
                </c:pt>
                <c:pt idx="617">
                  <c:v>3.1577246221944546</c:v>
                </c:pt>
                <c:pt idx="618">
                  <c:v>2.9718875699510598</c:v>
                </c:pt>
                <c:pt idx="619">
                  <c:v>2.7913188040077368</c:v>
                </c:pt>
                <c:pt idx="620">
                  <c:v>2.6162959093343621</c:v>
                </c:pt>
                <c:pt idx="621">
                  <c:v>2.4470671845997556</c:v>
                </c:pt>
                <c:pt idx="622">
                  <c:v>2.2838502775022693</c:v>
                </c:pt>
                <c:pt idx="623">
                  <c:v>2.1268311067330616</c:v>
                </c:pt>
                <c:pt idx="624">
                  <c:v>1.9761630833857988</c:v>
                </c:pt>
                <c:pt idx="625">
                  <c:v>1.8319666405037027</c:v>
                </c:pt>
                <c:pt idx="626">
                  <c:v>1.6943290751330098</c:v>
                </c:pt>
                <c:pt idx="627">
                  <c:v>1.5633047028104183</c:v>
                </c:pt>
                <c:pt idx="628">
                  <c:v>1.438915319935048</c:v>
                </c:pt>
                <c:pt idx="629">
                  <c:v>1.3211509650496043</c:v>
                </c:pt>
                <c:pt idx="630">
                  <c:v>1.2099709657682287</c:v>
                </c:pt>
                <c:pt idx="631">
                  <c:v>1.1053052540257984</c:v>
                </c:pt>
                <c:pt idx="632">
                  <c:v>1.0070559285673595</c:v>
                </c:pt>
                <c:pt idx="633">
                  <c:v>0.91509904022317146</c:v>
                </c:pt>
                <c:pt idx="634">
                  <c:v>0.82928657259281224</c:v>
                </c:pt>
                <c:pt idx="635">
                  <c:v>0.74944858834942307</c:v>
                </c:pt>
                <c:pt idx="636">
                  <c:v>0.67539550951946814</c:v>
                </c:pt>
                <c:pt idx="637">
                  <c:v>0.60692049882856658</c:v>
                </c:pt>
                <c:pt idx="638">
                  <c:v>0.54380190855042965</c:v>
                </c:pt>
                <c:pt idx="639">
                  <c:v>0.48580576325972052</c:v>
                </c:pt>
                <c:pt idx="640">
                  <c:v>0.4326882434621514</c:v>
                </c:pt>
                <c:pt idx="641">
                  <c:v>0.38419813823338778</c:v>
                </c:pt>
                <c:pt idx="642">
                  <c:v>0.34007923670568446</c:v>
                </c:pt>
                <c:pt idx="643">
                  <c:v>0.30007263044833066</c:v>
                </c:pt>
                <c:pt idx="644">
                  <c:v>0.26391890143445557</c:v>
                </c:pt>
                <c:pt idx="645">
                  <c:v>0.23136017330264805</c:v>
                </c:pt>
                <c:pt idx="646">
                  <c:v>0.20214200692992951</c:v>
                </c:pt>
                <c:pt idx="647">
                  <c:v>0.17601512485055829</c:v>
                </c:pt>
                <c:pt idx="648">
                  <c:v>0.15273695269788706</c:v>
                </c:pt>
                <c:pt idx="649">
                  <c:v>0.13207296952873376</c:v>
                </c:pt>
                <c:pt idx="650">
                  <c:v>0.11379786252827002</c:v>
                </c:pt>
                <c:pt idx="651">
                  <c:v>9.7696485109496481E-2</c:v>
                </c:pt>
                <c:pt idx="652">
                  <c:v>8.3564620742667545E-2</c:v>
                </c:pt>
                <c:pt idx="653">
                  <c:v>7.1209557912562463E-2</c:v>
                </c:pt>
                <c:pt idx="654">
                  <c:v>6.0450484351097726E-2</c:v>
                </c:pt>
                <c:pt idx="655">
                  <c:v>5.111871108619969E-2</c:v>
                </c:pt>
                <c:pt idx="656">
                  <c:v>4.3057738853549785E-2</c:v>
                </c:pt>
                <c:pt idx="657">
                  <c:v>3.6123181016225143E-2</c:v>
                </c:pt>
                <c:pt idx="658">
                  <c:v>3.0182558320771921E-2</c:v>
                </c:pt>
                <c:pt idx="659">
                  <c:v>2.5114981590716304E-2</c:v>
                </c:pt>
                <c:pt idx="660">
                  <c:v>2.0810738834448346E-2</c:v>
                </c:pt>
                <c:pt idx="661">
                  <c:v>1.7170803247840299E-2</c:v>
                </c:pt>
                <c:pt idx="662">
                  <c:v>1.4106278255074638E-2</c:v>
                </c:pt>
                <c:pt idx="663">
                  <c:v>1.1537795092740619E-2</c:v>
                </c:pt>
                <c:pt idx="664">
                  <c:v>9.3948775460067843E-3</c:v>
                </c:pt>
                <c:pt idx="665">
                  <c:v>7.6152873384697705E-3</c:v>
                </c:pt>
                <c:pt idx="666">
                  <c:v>6.1443624074710053E-3</c:v>
                </c:pt>
                <c:pt idx="667">
                  <c:v>4.934358912463124E-3</c:v>
                </c:pt>
                <c:pt idx="668">
                  <c:v>3.943806371958191E-3</c:v>
                </c:pt>
                <c:pt idx="669">
                  <c:v>3.1368838483146044E-3</c:v>
                </c:pt>
                <c:pt idx="670">
                  <c:v>2.482823638704109E-3</c:v>
                </c:pt>
                <c:pt idx="671">
                  <c:v>1.9553475197582148E-3</c:v>
                </c:pt>
                <c:pt idx="672">
                  <c:v>1.5321392618790151E-3</c:v>
                </c:pt>
                <c:pt idx="673">
                  <c:v>1.194355900475101E-3</c:v>
                </c:pt>
                <c:pt idx="674">
                  <c:v>9.2617914302726501E-4</c:v>
                </c:pt>
                <c:pt idx="675">
                  <c:v>7.144073147260328E-4</c:v>
                </c:pt>
                <c:pt idx="676">
                  <c:v>5.4808740784911695E-4</c:v>
                </c:pt>
                <c:pt idx="677">
                  <c:v>4.181861025102778E-4</c:v>
                </c:pt>
                <c:pt idx="678">
                  <c:v>3.172980660187819E-4</c:v>
                </c:pt>
                <c:pt idx="679">
                  <c:v>2.3938940829344171E-4</c:v>
                </c:pt>
                <c:pt idx="680">
                  <c:v>1.7957386210908389E-4</c:v>
                </c:pt>
                <c:pt idx="681">
                  <c:v>1.3391905776923368E-4</c:v>
                </c:pt>
                <c:pt idx="682">
                  <c:v>9.9280158990976239E-5</c:v>
                </c:pt>
                <c:pt idx="683">
                  <c:v>7.3158106462098787E-5</c:v>
                </c:pt>
                <c:pt idx="684">
                  <c:v>5.3579763604635201E-5</c:v>
                </c:pt>
                <c:pt idx="685">
                  <c:v>3.8997361798101176E-5</c:v>
                </c:pt>
                <c:pt idx="686">
                  <c:v>2.820478667368902E-5</c:v>
                </c:pt>
                <c:pt idx="687">
                  <c:v>2.026842115312366E-5</c:v>
                </c:pt>
                <c:pt idx="688">
                  <c:v>1.4470454037948988E-5</c:v>
                </c:pt>
                <c:pt idx="689">
                  <c:v>1.0262765959153438E-5</c:v>
                </c:pt>
                <c:pt idx="690">
                  <c:v>7.2297096698162948E-6</c:v>
                </c:pt>
                <c:pt idx="691">
                  <c:v>5.0583027831423167E-6</c:v>
                </c:pt>
                <c:pt idx="692">
                  <c:v>3.5145433160228135E-6</c:v>
                </c:pt>
                <c:pt idx="693">
                  <c:v>2.4247382862396172E-6</c:v>
                </c:pt>
                <c:pt idx="694">
                  <c:v>1.6609007806790118E-6</c:v>
                </c:pt>
                <c:pt idx="695">
                  <c:v>1.1294200124348107E-6</c:v>
                </c:pt>
                <c:pt idx="696">
                  <c:v>7.6234139805802189E-7</c:v>
                </c:pt>
                <c:pt idx="697">
                  <c:v>5.1070976002358592E-7</c:v>
                </c:pt>
                <c:pt idx="698">
                  <c:v>3.3952905039900251E-7</c:v>
                </c:pt>
                <c:pt idx="699">
                  <c:v>2.2397752261927249E-7</c:v>
                </c:pt>
                <c:pt idx="700">
                  <c:v>1.4658931292265487E-7</c:v>
                </c:pt>
                <c:pt idx="701">
                  <c:v>9.5173329790270798E-8</c:v>
                </c:pt>
                <c:pt idx="702">
                  <c:v>6.1289635345401177E-8</c:v>
                </c:pt>
                <c:pt idx="703">
                  <c:v>3.9143564762237024E-8</c:v>
                </c:pt>
                <c:pt idx="704">
                  <c:v>2.479002726462616E-8</c:v>
                </c:pt>
                <c:pt idx="705">
                  <c:v>1.5566021466592889E-8</c:v>
                </c:pt>
                <c:pt idx="706">
                  <c:v>9.6895113108215084E-9</c:v>
                </c:pt>
                <c:pt idx="707">
                  <c:v>5.9784459765773475E-9</c:v>
                </c:pt>
                <c:pt idx="708">
                  <c:v>3.655732285536611E-9</c:v>
                </c:pt>
                <c:pt idx="709">
                  <c:v>2.2151157497673447E-9</c:v>
                </c:pt>
                <c:pt idx="710">
                  <c:v>1.3298100309940237E-9</c:v>
                </c:pt>
                <c:pt idx="711">
                  <c:v>7.9083870869293197E-10</c:v>
                </c:pt>
                <c:pt idx="712">
                  <c:v>4.6582646427063619E-10</c:v>
                </c:pt>
                <c:pt idx="713">
                  <c:v>2.7172517968582004E-10</c:v>
                </c:pt>
                <c:pt idx="714">
                  <c:v>1.5694063416253276E-10</c:v>
                </c:pt>
                <c:pt idx="715">
                  <c:v>8.9736625257853085E-11</c:v>
                </c:pt>
                <c:pt idx="716">
                  <c:v>5.0787937907777102E-11</c:v>
                </c:pt>
                <c:pt idx="717">
                  <c:v>2.844685819952541E-11</c:v>
                </c:pt>
                <c:pt idx="718">
                  <c:v>1.5765796191915716E-11</c:v>
                </c:pt>
                <c:pt idx="719">
                  <c:v>8.6442828412769741E-12</c:v>
                </c:pt>
                <c:pt idx="720">
                  <c:v>4.6880867934005893E-12</c:v>
                </c:pt>
                <c:pt idx="721">
                  <c:v>2.514413038284709E-12</c:v>
                </c:pt>
                <c:pt idx="722">
                  <c:v>1.3334326538166503E-12</c:v>
                </c:pt>
                <c:pt idx="723">
                  <c:v>6.9906361166035E-13</c:v>
                </c:pt>
                <c:pt idx="724">
                  <c:v>3.6223427158535562E-13</c:v>
                </c:pt>
                <c:pt idx="725">
                  <c:v>1.8548299147741618E-13</c:v>
                </c:pt>
                <c:pt idx="726">
                  <c:v>9.3836802837741493E-14</c:v>
                </c:pt>
                <c:pt idx="727">
                  <c:v>4.689300181415287E-14</c:v>
                </c:pt>
                <c:pt idx="728">
                  <c:v>2.314291381016238E-14</c:v>
                </c:pt>
                <c:pt idx="729">
                  <c:v>1.1277449897378993E-14</c:v>
                </c:pt>
                <c:pt idx="730">
                  <c:v>5.4249100060652281E-15</c:v>
                </c:pt>
                <c:pt idx="731">
                  <c:v>2.5755322609013231E-15</c:v>
                </c:pt>
                <c:pt idx="732">
                  <c:v>1.206525363064243E-15</c:v>
                </c:pt>
                <c:pt idx="733">
                  <c:v>5.5757228818434185E-16</c:v>
                </c:pt>
                <c:pt idx="734">
                  <c:v>2.5413206075822182E-16</c:v>
                </c:pt>
                <c:pt idx="735">
                  <c:v>1.1421090230943489E-16</c:v>
                </c:pt>
                <c:pt idx="736">
                  <c:v>5.0598740564938895E-17</c:v>
                </c:pt>
                <c:pt idx="737">
                  <c:v>2.209265924357191E-17</c:v>
                </c:pt>
                <c:pt idx="738">
                  <c:v>9.5043487917986256E-18</c:v>
                </c:pt>
                <c:pt idx="739">
                  <c:v>4.0276391414219952E-18</c:v>
                </c:pt>
                <c:pt idx="740">
                  <c:v>1.6808076719984772E-18</c:v>
                </c:pt>
                <c:pt idx="741">
                  <c:v>6.9057033910444521E-19</c:v>
                </c:pt>
                <c:pt idx="742">
                  <c:v>2.7925504307970996E-19</c:v>
                </c:pt>
                <c:pt idx="743">
                  <c:v>1.1111576409858134E-19</c:v>
                </c:pt>
                <c:pt idx="744">
                  <c:v>4.3491835012424872E-20</c:v>
                </c:pt>
                <c:pt idx="745">
                  <c:v>1.6740579721927296E-20</c:v>
                </c:pt>
                <c:pt idx="746">
                  <c:v>6.3348254716756375E-21</c:v>
                </c:pt>
                <c:pt idx="747">
                  <c:v>2.3559617299852146E-21</c:v>
                </c:pt>
                <c:pt idx="748">
                  <c:v>8.6086787424260135E-22</c:v>
                </c:pt>
                <c:pt idx="749">
                  <c:v>3.089597684704884E-22</c:v>
                </c:pt>
                <c:pt idx="750">
                  <c:v>1.0887398297931318E-22</c:v>
                </c:pt>
                <c:pt idx="751">
                  <c:v>3.765821089166257E-23</c:v>
                </c:pt>
                <c:pt idx="752">
                  <c:v>1.2780924418942932E-23</c:v>
                </c:pt>
                <c:pt idx="753">
                  <c:v>4.254831673630874E-24</c:v>
                </c:pt>
                <c:pt idx="754">
                  <c:v>1.3888884980396124E-24</c:v>
                </c:pt>
                <c:pt idx="755">
                  <c:v>4.4438700736840821E-25</c:v>
                </c:pt>
                <c:pt idx="756">
                  <c:v>1.3931730169593024E-25</c:v>
                </c:pt>
                <c:pt idx="757">
                  <c:v>4.2779511514633209E-26</c:v>
                </c:pt>
                <c:pt idx="758">
                  <c:v>1.2861377350607789E-26</c:v>
                </c:pt>
                <c:pt idx="759">
                  <c:v>3.7843409957858692E-27</c:v>
                </c:pt>
                <c:pt idx="760">
                  <c:v>1.0893582019582525E-27</c:v>
                </c:pt>
                <c:pt idx="761">
                  <c:v>3.0665607478663593E-28</c:v>
                </c:pt>
                <c:pt idx="762">
                  <c:v>8.4382372399838258E-29</c:v>
                </c:pt>
                <c:pt idx="763">
                  <c:v>2.2687470456019798E-29</c:v>
                </c:pt>
                <c:pt idx="764">
                  <c:v>5.9575187148357945E-30</c:v>
                </c:pt>
                <c:pt idx="765">
                  <c:v>1.5272015662649222E-30</c:v>
                </c:pt>
                <c:pt idx="766">
                  <c:v>3.8201571162267011E-31</c:v>
                </c:pt>
                <c:pt idx="767">
                  <c:v>9.3200427484825975E-32</c:v>
                </c:pt>
                <c:pt idx="768">
                  <c:v>2.2166634634674421E-32</c:v>
                </c:pt>
                <c:pt idx="769">
                  <c:v>5.1370703481570322E-33</c:v>
                </c:pt>
                <c:pt idx="770">
                  <c:v>1.1594421663764706E-33</c:v>
                </c:pt>
                <c:pt idx="771">
                  <c:v>2.5472966715932001E-34</c:v>
                </c:pt>
                <c:pt idx="772">
                  <c:v>5.4447860952448903E-35</c:v>
                </c:pt>
                <c:pt idx="773">
                  <c:v>1.1316752047793415E-35</c:v>
                </c:pt>
                <c:pt idx="774">
                  <c:v>2.2859460534965347E-36</c:v>
                </c:pt>
                <c:pt idx="775">
                  <c:v>4.4850925907331749E-37</c:v>
                </c:pt>
                <c:pt idx="776">
                  <c:v>8.5426097079901107E-38</c:v>
                </c:pt>
                <c:pt idx="777">
                  <c:v>1.57859285211863E-38</c:v>
                </c:pt>
                <c:pt idx="778">
                  <c:v>2.8284655798186207E-39</c:v>
                </c:pt>
                <c:pt idx="779">
                  <c:v>4.9109732444149922E-40</c:v>
                </c:pt>
                <c:pt idx="780">
                  <c:v>8.2575003198757794E-41</c:v>
                </c:pt>
                <c:pt idx="781">
                  <c:v>1.343742419837657E-41</c:v>
                </c:pt>
                <c:pt idx="782">
                  <c:v>2.114877844144488E-42</c:v>
                </c:pt>
                <c:pt idx="783">
                  <c:v>3.2171034619496442E-43</c:v>
                </c:pt>
                <c:pt idx="784">
                  <c:v>4.7266878210038591E-44</c:v>
                </c:pt>
                <c:pt idx="785">
                  <c:v>6.7027876131095103E-45</c:v>
                </c:pt>
                <c:pt idx="786">
                  <c:v>9.1674333242966064E-46</c:v>
                </c:pt>
                <c:pt idx="787">
                  <c:v>1.2084073291589345E-46</c:v>
                </c:pt>
                <c:pt idx="788">
                  <c:v>1.5339950169537508E-47</c:v>
                </c:pt>
                <c:pt idx="789">
                  <c:v>1.873886317931781E-48</c:v>
                </c:pt>
                <c:pt idx="790">
                  <c:v>2.201033464022822E-49</c:v>
                </c:pt>
                <c:pt idx="791">
                  <c:v>2.483825493135516E-50</c:v>
                </c:pt>
                <c:pt idx="792">
                  <c:v>2.6906964547861267E-51</c:v>
                </c:pt>
                <c:pt idx="793">
                  <c:v>2.7956749604513893E-52</c:v>
                </c:pt>
                <c:pt idx="794">
                  <c:v>2.7836002571888801E-53</c:v>
                </c:pt>
                <c:pt idx="795">
                  <c:v>2.6536009140760235E-54</c:v>
                </c:pt>
                <c:pt idx="796">
                  <c:v>2.4197661221067658E-55</c:v>
                </c:pt>
                <c:pt idx="797">
                  <c:v>2.1086795613641105E-56</c:v>
                </c:pt>
                <c:pt idx="798">
                  <c:v>1.7543940132199041E-57</c:v>
                </c:pt>
                <c:pt idx="799">
                  <c:v>1.3921698747178527E-58</c:v>
                </c:pt>
                <c:pt idx="800">
                  <c:v>1.0526015401989996E-59</c:v>
                </c:pt>
                <c:pt idx="801">
                  <c:v>7.5751139023852884E-61</c:v>
                </c:pt>
                <c:pt idx="802">
                  <c:v>5.1832564996124561E-62</c:v>
                </c:pt>
                <c:pt idx="803">
                  <c:v>3.3684294783487222E-63</c:v>
                </c:pt>
                <c:pt idx="804">
                  <c:v>2.0767002485261284E-64</c:v>
                </c:pt>
                <c:pt idx="805">
                  <c:v>1.2132191811382942E-65</c:v>
                </c:pt>
                <c:pt idx="806">
                  <c:v>6.7082315877452823E-67</c:v>
                </c:pt>
                <c:pt idx="807">
                  <c:v>3.5063131109908609E-68</c:v>
                </c:pt>
                <c:pt idx="808">
                  <c:v>1.7303088943981075E-69</c:v>
                </c:pt>
                <c:pt idx="809">
                  <c:v>8.0513507735193503E-71</c:v>
                </c:pt>
                <c:pt idx="810">
                  <c:v>3.5278723657091784E-72</c:v>
                </c:pt>
                <c:pt idx="811">
                  <c:v>1.4536750475530747E-73</c:v>
                </c:pt>
                <c:pt idx="812">
                  <c:v>5.6250645815838876E-75</c:v>
                </c:pt>
                <c:pt idx="813">
                  <c:v>2.0411373881549186E-76</c:v>
                </c:pt>
                <c:pt idx="814">
                  <c:v>6.935268991550265E-78</c:v>
                </c:pt>
                <c:pt idx="815">
                  <c:v>2.2031544020686686E-79</c:v>
                </c:pt>
                <c:pt idx="816">
                  <c:v>6.5334586350786263E-81</c:v>
                </c:pt>
                <c:pt idx="817">
                  <c:v>1.8057815617744141E-82</c:v>
                </c:pt>
                <c:pt idx="818">
                  <c:v>4.6440728831985206E-84</c:v>
                </c:pt>
                <c:pt idx="819">
                  <c:v>1.1094620339797563E-85</c:v>
                </c:pt>
                <c:pt idx="820">
                  <c:v>2.4578345155825894E-87</c:v>
                </c:pt>
                <c:pt idx="821">
                  <c:v>5.0401724074286861E-89</c:v>
                </c:pt>
                <c:pt idx="822">
                  <c:v>9.549802428854181E-91</c:v>
                </c:pt>
                <c:pt idx="823">
                  <c:v>1.668708392114963E-92</c:v>
                </c:pt>
                <c:pt idx="824">
                  <c:v>2.6838657070515671E-94</c:v>
                </c:pt>
                <c:pt idx="825">
                  <c:v>3.9652277903977362E-96</c:v>
                </c:pt>
                <c:pt idx="826">
                  <c:v>5.3704417850984427E-98</c:v>
                </c:pt>
                <c:pt idx="827">
                  <c:v>6.6537691251977983E-100</c:v>
                </c:pt>
                <c:pt idx="828">
                  <c:v>7.5248102372860645E-102</c:v>
                </c:pt>
                <c:pt idx="829">
                  <c:v>7.7503220095034915E-104</c:v>
                </c:pt>
                <c:pt idx="830">
                  <c:v>7.2533323348940441E-106</c:v>
                </c:pt>
                <c:pt idx="831">
                  <c:v>6.1534161326647247E-108</c:v>
                </c:pt>
                <c:pt idx="832">
                  <c:v>4.7205437861822499E-110</c:v>
                </c:pt>
                <c:pt idx="833">
                  <c:v>3.2663954614784247E-112</c:v>
                </c:pt>
                <c:pt idx="834">
                  <c:v>2.0333731103475358E-114</c:v>
                </c:pt>
                <c:pt idx="835">
                  <c:v>1.135724481734513E-116</c:v>
                </c:pt>
                <c:pt idx="836">
                  <c:v>5.6759254845863613E-119</c:v>
                </c:pt>
                <c:pt idx="837">
                  <c:v>2.5308779955855199E-121</c:v>
                </c:pt>
                <c:pt idx="838">
                  <c:v>1.0039245725591043E-123</c:v>
                </c:pt>
                <c:pt idx="839">
                  <c:v>3.5319202033093914E-126</c:v>
                </c:pt>
                <c:pt idx="840">
                  <c:v>1.0986104822282952E-128</c:v>
                </c:pt>
                <c:pt idx="841">
                  <c:v>3.0116172984564079E-131</c:v>
                </c:pt>
                <c:pt idx="842">
                  <c:v>7.2516113647401453E-134</c:v>
                </c:pt>
                <c:pt idx="843">
                  <c:v>1.5284707366332621E-136</c:v>
                </c:pt>
                <c:pt idx="844">
                  <c:v>2.8101446621485627E-139</c:v>
                </c:pt>
                <c:pt idx="845">
                  <c:v>4.4901441083810114E-142</c:v>
                </c:pt>
                <c:pt idx="846">
                  <c:v>6.2117096359779898E-145</c:v>
                </c:pt>
                <c:pt idx="847">
                  <c:v>7.4111663312853964E-148</c:v>
                </c:pt>
                <c:pt idx="848">
                  <c:v>7.5951394535593857E-151</c:v>
                </c:pt>
                <c:pt idx="849">
                  <c:v>6.6580903318089246E-154</c:v>
                </c:pt>
                <c:pt idx="850">
                  <c:v>4.9711711993951717E-157</c:v>
                </c:pt>
                <c:pt idx="851">
                  <c:v>3.1472424842245339E-160</c:v>
                </c:pt>
                <c:pt idx="852">
                  <c:v>1.6817673263245431E-163</c:v>
                </c:pt>
                <c:pt idx="853">
                  <c:v>7.549172887096941E-167</c:v>
                </c:pt>
                <c:pt idx="854">
                  <c:v>2.8326511444068567E-170</c:v>
                </c:pt>
                <c:pt idx="855">
                  <c:v>8.8396612055466761E-174</c:v>
                </c:pt>
                <c:pt idx="856">
                  <c:v>2.2821200012377634E-177</c:v>
                </c:pt>
                <c:pt idx="857">
                  <c:v>4.8476688120544618E-181</c:v>
                </c:pt>
                <c:pt idx="858">
                  <c:v>8.4249372276490578E-185</c:v>
                </c:pt>
                <c:pt idx="859">
                  <c:v>1.1909682273674449E-188</c:v>
                </c:pt>
                <c:pt idx="860">
                  <c:v>1.3611408692892658E-192</c:v>
                </c:pt>
                <c:pt idx="861">
                  <c:v>1.2498279159018075E-196</c:v>
                </c:pt>
                <c:pt idx="862">
                  <c:v>9.1604665408395338E-201</c:v>
                </c:pt>
                <c:pt idx="863">
                  <c:v>5.3232638159336459E-205</c:v>
                </c:pt>
                <c:pt idx="864">
                  <c:v>2.4355469754594622E-209</c:v>
                </c:pt>
                <c:pt idx="865">
                  <c:v>8.7101532318730264E-214</c:v>
                </c:pt>
                <c:pt idx="866">
                  <c:v>2.4165791690452048E-218</c:v>
                </c:pt>
                <c:pt idx="867">
                  <c:v>5.1610096415116672E-223</c:v>
                </c:pt>
                <c:pt idx="868">
                  <c:v>8.4161008440573244E-228</c:v>
                </c:pt>
                <c:pt idx="869">
                  <c:v>1.039154037327545E-232</c:v>
                </c:pt>
                <c:pt idx="870">
                  <c:v>9.6305604537692464E-238</c:v>
                </c:pt>
                <c:pt idx="871">
                  <c:v>6.6387915120482043E-243</c:v>
                </c:pt>
                <c:pt idx="872">
                  <c:v>3.3721122626388553E-248</c:v>
                </c:pt>
                <c:pt idx="873">
                  <c:v>1.2497971650090446E-253</c:v>
                </c:pt>
                <c:pt idx="874">
                  <c:v>3.3456635804161561E-259</c:v>
                </c:pt>
                <c:pt idx="875">
                  <c:v>6.4008057315451547E-265</c:v>
                </c:pt>
                <c:pt idx="876">
                  <c:v>8.6559821985113639E-271</c:v>
                </c:pt>
                <c:pt idx="877">
                  <c:v>8.1800022678108836E-277</c:v>
                </c:pt>
                <c:pt idx="878">
                  <c:v>5.3378799264532E-283</c:v>
                </c:pt>
                <c:pt idx="879">
                  <c:v>2.3755948656906131E-289</c:v>
                </c:pt>
                <c:pt idx="880">
                  <c:v>7.1178767118247734E-296</c:v>
                </c:pt>
                <c:pt idx="881">
                  <c:v>1.4166238721278377E-302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60-4D66-9072-F7B63DED3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818096"/>
        <c:axId val="446812216"/>
      </c:scatterChart>
      <c:valAx>
        <c:axId val="446818096"/>
        <c:scaling>
          <c:orientation val="minMax"/>
          <c:max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/>
                  <a:t>Time (s)</a:t>
                </a:r>
                <a:endParaRPr lang="en-IN"/>
              </a:p>
            </c:rich>
          </c:tx>
          <c:layout>
            <c:manualLayout>
              <c:xMode val="edge"/>
              <c:yMode val="edge"/>
              <c:x val="0.49595788305313188"/>
              <c:y val="0.936822464562841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812216"/>
        <c:crosses val="autoZero"/>
        <c:crossBetween val="midCat"/>
        <c:majorUnit val="0.2"/>
      </c:valAx>
      <c:valAx>
        <c:axId val="446812216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/>
                  <a:t>Concentration of droplets</a:t>
                </a:r>
                <a:endParaRPr lang="en-IN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818096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R$25" horiz="1" max="70" min="1" page="10" val="50"/>
</file>

<file path=xl/ctrlProps/ctrlProp2.xml><?xml version="1.0" encoding="utf-8"?>
<formControlPr xmlns="http://schemas.microsoft.com/office/spreadsheetml/2009/9/main" objectType="Scroll" dx="22" fmlaLink="$Q$25" horiz="1" max="70" min="1" page="10" val="5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S$25" horiz="1" max="50" min="1" page="10" val="20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jpg"/><Relationship Id="rId1" Type="http://schemas.openxmlformats.org/officeDocument/2006/relationships/chart" Target="../charts/chart1.xml"/><Relationship Id="rId5" Type="http://schemas.openxmlformats.org/officeDocument/2006/relationships/image" Target="../media/image4.jpeg"/><Relationship Id="rId4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11911</xdr:rowOff>
    </xdr:from>
    <xdr:to>
      <xdr:col>26</xdr:col>
      <xdr:colOff>607217</xdr:colOff>
      <xdr:row>48</xdr:row>
      <xdr:rowOff>142880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28</xdr:row>
      <xdr:rowOff>156479</xdr:rowOff>
    </xdr:from>
    <xdr:to>
      <xdr:col>1</xdr:col>
      <xdr:colOff>600075</xdr:colOff>
      <xdr:row>49</xdr:row>
      <xdr:rowOff>133619</xdr:rowOff>
    </xdr:to>
    <xdr:pic>
      <xdr:nvPicPr>
        <xdr:cNvPr id="5" name="Emitter"/>
        <xdr:cNvPicPr>
          <a:picLocks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691" t="6853" r="28271" b="9902"/>
        <a:stretch/>
      </xdr:blipFill>
      <xdr:spPr>
        <a:xfrm>
          <a:off x="0" y="5505719"/>
          <a:ext cx="1209675" cy="3810000"/>
        </a:xfrm>
        <a:prstGeom prst="rect">
          <a:avLst/>
        </a:prstGeom>
        <a:effectLst>
          <a:softEdge rad="317500"/>
        </a:effectLst>
      </xdr:spPr>
    </xdr:pic>
    <xdr:clientData/>
  </xdr:twoCellAnchor>
  <xdr:twoCellAnchor>
    <xdr:from>
      <xdr:col>0</xdr:col>
      <xdr:colOff>583405</xdr:colOff>
      <xdr:row>5</xdr:row>
      <xdr:rowOff>232833</xdr:rowOff>
    </xdr:from>
    <xdr:to>
      <xdr:col>7</xdr:col>
      <xdr:colOff>23811</xdr:colOff>
      <xdr:row>16</xdr:row>
      <xdr:rowOff>26192</xdr:rowOff>
    </xdr:to>
    <xdr:sp macro="" textlink="">
      <xdr:nvSpPr>
        <xdr:cNvPr id="2" name="Rectangle 1"/>
        <xdr:cNvSpPr/>
      </xdr:nvSpPr>
      <xdr:spPr>
        <a:xfrm>
          <a:off x="583405" y="1195916"/>
          <a:ext cx="3737239" cy="2047609"/>
        </a:xfrm>
        <a:prstGeom prst="rect">
          <a:avLst/>
        </a:prstGeom>
        <a:noFill/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0</xdr:colOff>
      <xdr:row>6</xdr:row>
      <xdr:rowOff>1</xdr:rowOff>
    </xdr:from>
    <xdr:to>
      <xdr:col>13</xdr:col>
      <xdr:colOff>23812</xdr:colOff>
      <xdr:row>9</xdr:row>
      <xdr:rowOff>38100</xdr:rowOff>
    </xdr:to>
    <xdr:sp macro="" textlink="">
      <xdr:nvSpPr>
        <xdr:cNvPr id="3" name="Rectangle 2"/>
        <xdr:cNvSpPr/>
      </xdr:nvSpPr>
      <xdr:spPr>
        <a:xfrm>
          <a:off x="4857750" y="1202532"/>
          <a:ext cx="3059906" cy="645318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6</xdr:col>
      <xdr:colOff>91386</xdr:colOff>
      <xdr:row>28</xdr:row>
      <xdr:rowOff>164303</xdr:rowOff>
    </xdr:from>
    <xdr:to>
      <xdr:col>8</xdr:col>
      <xdr:colOff>67238</xdr:colOff>
      <xdr:row>49</xdr:row>
      <xdr:rowOff>141443</xdr:rowOff>
    </xdr:to>
    <xdr:pic>
      <xdr:nvPicPr>
        <xdr:cNvPr id="8" name="Receiver"/>
        <xdr:cNvPicPr>
          <a:picLocks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691" t="7605" r="28271" b="9902"/>
        <a:stretch/>
      </xdr:blipFill>
      <xdr:spPr>
        <a:xfrm flipH="1">
          <a:off x="3779466" y="5513543"/>
          <a:ext cx="1195052" cy="3810000"/>
        </a:xfrm>
        <a:prstGeom prst="rect">
          <a:avLst/>
        </a:prstGeom>
        <a:effectLst>
          <a:softEdge rad="31750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14</xdr:row>
          <xdr:rowOff>190500</xdr:rowOff>
        </xdr:from>
        <xdr:to>
          <xdr:col>8</xdr:col>
          <xdr:colOff>266700</xdr:colOff>
          <xdr:row>16</xdr:row>
          <xdr:rowOff>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13</xdr:row>
          <xdr:rowOff>190500</xdr:rowOff>
        </xdr:from>
        <xdr:to>
          <xdr:col>8</xdr:col>
          <xdr:colOff>266700</xdr:colOff>
          <xdr:row>15</xdr:row>
          <xdr:rowOff>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9</xdr:row>
          <xdr:rowOff>190500</xdr:rowOff>
        </xdr:from>
        <xdr:to>
          <xdr:col>11</xdr:col>
          <xdr:colOff>297180</xdr:colOff>
          <xdr:row>11</xdr:row>
          <xdr:rowOff>198120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23812</xdr:colOff>
      <xdr:row>52</xdr:row>
      <xdr:rowOff>27383</xdr:rowOff>
    </xdr:from>
    <xdr:to>
      <xdr:col>21</xdr:col>
      <xdr:colOff>592667</xdr:colOff>
      <xdr:row>75</xdr:row>
      <xdr:rowOff>154780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12</xdr:row>
          <xdr:rowOff>190500</xdr:rowOff>
        </xdr:from>
        <xdr:to>
          <xdr:col>8</xdr:col>
          <xdr:colOff>266700</xdr:colOff>
          <xdr:row>14</xdr:row>
          <xdr:rowOff>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335280</xdr:colOff>
          <xdr:row>12</xdr:row>
          <xdr:rowOff>182880</xdr:rowOff>
        </xdr:from>
        <xdr:to>
          <xdr:col>11</xdr:col>
          <xdr:colOff>312420</xdr:colOff>
          <xdr:row>14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0</xdr:row>
      <xdr:rowOff>0</xdr:rowOff>
    </xdr:from>
    <xdr:to>
      <xdr:col>10</xdr:col>
      <xdr:colOff>225044</xdr:colOff>
      <xdr:row>3</xdr:row>
      <xdr:rowOff>105833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6833" y="0"/>
          <a:ext cx="2066544" cy="677333"/>
        </a:xfrm>
        <a:prstGeom prst="rect">
          <a:avLst/>
        </a:prstGeom>
      </xdr:spPr>
    </xdr:pic>
    <xdr:clientData/>
  </xdr:twoCellAnchor>
  <xdr:twoCellAnchor editAs="oneCell">
    <xdr:from>
      <xdr:col>10</xdr:col>
      <xdr:colOff>201083</xdr:colOff>
      <xdr:row>0</xdr:row>
      <xdr:rowOff>0</xdr:rowOff>
    </xdr:from>
    <xdr:to>
      <xdr:col>13</xdr:col>
      <xdr:colOff>426127</xdr:colOff>
      <xdr:row>3</xdr:row>
      <xdr:rowOff>105833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9416" y="0"/>
          <a:ext cx="2066544" cy="677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303"/>
  <sheetViews>
    <sheetView tabSelected="1" zoomScale="70" zoomScaleNormal="70" workbookViewId="0">
      <selection activeCell="N13" sqref="N13"/>
    </sheetView>
  </sheetViews>
  <sheetFormatPr defaultRowHeight="14.4" x14ac:dyDescent="0.3"/>
  <cols>
    <col min="5" max="6" width="9.109375" customWidth="1"/>
    <col min="12" max="12" width="9.109375" customWidth="1"/>
    <col min="19" max="19" width="9.109375" customWidth="1"/>
    <col min="25" max="25" width="9.109375" customWidth="1"/>
  </cols>
  <sheetData>
    <row r="1" spans="1:20" ht="15" customHeight="1" x14ac:dyDescent="0.3">
      <c r="A1" s="15" t="s">
        <v>41</v>
      </c>
      <c r="B1" s="15"/>
      <c r="C1" s="15"/>
      <c r="D1" s="15"/>
      <c r="E1" s="15"/>
      <c r="F1" s="15"/>
      <c r="G1" s="15"/>
    </row>
    <row r="2" spans="1:20" ht="15" customHeight="1" x14ac:dyDescent="0.3">
      <c r="A2" s="15"/>
      <c r="B2" s="15"/>
      <c r="C2" s="15"/>
      <c r="D2" s="15"/>
      <c r="E2" s="15"/>
      <c r="F2" s="15"/>
      <c r="G2" s="15"/>
    </row>
    <row r="3" spans="1:20" x14ac:dyDescent="0.3">
      <c r="A3" s="15"/>
      <c r="B3" s="15"/>
      <c r="C3" s="15"/>
      <c r="D3" s="15"/>
      <c r="E3" s="15"/>
      <c r="F3" s="15"/>
      <c r="G3" s="15"/>
    </row>
    <row r="5" spans="1:20" ht="15.6" x14ac:dyDescent="0.3">
      <c r="O5" s="16" t="s">
        <v>36</v>
      </c>
      <c r="P5" s="16"/>
      <c r="Q5" s="16"/>
      <c r="R5" s="16"/>
      <c r="S5" s="16"/>
      <c r="T5" s="16"/>
    </row>
    <row r="6" spans="1:20" ht="18" x14ac:dyDescent="0.35">
      <c r="B6" s="14" t="s">
        <v>0</v>
      </c>
      <c r="C6" s="14"/>
      <c r="D6" s="14"/>
      <c r="E6" s="14"/>
      <c r="F6" s="14"/>
      <c r="G6" s="14"/>
      <c r="I6" s="18" t="s">
        <v>40</v>
      </c>
      <c r="J6" s="18"/>
      <c r="K6" s="18"/>
      <c r="L6" s="18"/>
      <c r="M6" s="18"/>
      <c r="O6" s="11" t="s">
        <v>35</v>
      </c>
      <c r="P6" s="11"/>
      <c r="Q6" s="11"/>
      <c r="R6" s="11"/>
      <c r="S6" s="13">
        <v>461.52</v>
      </c>
      <c r="T6" s="13"/>
    </row>
    <row r="7" spans="1:20" ht="15.6" x14ac:dyDescent="0.3">
      <c r="B7" s="12" t="s">
        <v>14</v>
      </c>
      <c r="C7" s="12"/>
      <c r="D7" s="12"/>
      <c r="E7" s="12"/>
      <c r="F7" s="12"/>
      <c r="G7" s="4">
        <v>1.0000000000000001E-5</v>
      </c>
      <c r="I7" s="12" t="s">
        <v>17</v>
      </c>
      <c r="J7" s="12"/>
      <c r="K7" s="12"/>
      <c r="L7" s="17">
        <f>L302</f>
        <v>5.0049999999999155</v>
      </c>
      <c r="M7" s="17"/>
      <c r="O7" s="11" t="s">
        <v>5</v>
      </c>
      <c r="P7" s="11"/>
      <c r="Q7" s="11"/>
      <c r="R7" s="11"/>
      <c r="S7" s="13">
        <v>0.06</v>
      </c>
      <c r="T7" s="13"/>
    </row>
    <row r="8" spans="1:20" ht="15.6" x14ac:dyDescent="0.3">
      <c r="B8" s="12" t="s">
        <v>1</v>
      </c>
      <c r="C8" s="12"/>
      <c r="D8" s="12"/>
      <c r="E8" s="12"/>
      <c r="F8" s="12"/>
      <c r="G8" s="1">
        <v>293.14999999999998</v>
      </c>
      <c r="I8" s="12" t="s">
        <v>39</v>
      </c>
      <c r="J8" s="12"/>
      <c r="K8" s="12"/>
      <c r="L8" s="17">
        <f>ROUND(N302*3.28084,5)</f>
        <v>-9.7000000000000003E-3</v>
      </c>
      <c r="M8" s="17"/>
      <c r="O8" s="11" t="s">
        <v>6</v>
      </c>
      <c r="P8" s="11"/>
      <c r="Q8" s="11"/>
      <c r="R8" s="11"/>
      <c r="S8" s="13">
        <v>0.92</v>
      </c>
      <c r="T8" s="13"/>
    </row>
    <row r="9" spans="1:20" ht="15.6" x14ac:dyDescent="0.3">
      <c r="B9" s="12" t="s">
        <v>2</v>
      </c>
      <c r="C9" s="12"/>
      <c r="D9" s="12"/>
      <c r="E9" s="12"/>
      <c r="F9" s="12"/>
      <c r="G9" s="1">
        <v>60</v>
      </c>
      <c r="I9" s="12" t="s">
        <v>18</v>
      </c>
      <c r="J9" s="12"/>
      <c r="K9" s="12"/>
      <c r="L9" s="17">
        <f>R302</f>
        <v>12.349810075336347</v>
      </c>
      <c r="M9" s="17"/>
      <c r="O9" s="11" t="s">
        <v>7</v>
      </c>
      <c r="P9" s="11"/>
      <c r="Q9" s="11"/>
      <c r="R9" s="11"/>
      <c r="S9" s="13">
        <v>9.81</v>
      </c>
      <c r="T9" s="13"/>
    </row>
    <row r="10" spans="1:20" ht="15.6" x14ac:dyDescent="0.3">
      <c r="B10" s="12" t="s">
        <v>15</v>
      </c>
      <c r="C10" s="12"/>
      <c r="D10" s="12"/>
      <c r="E10" s="12"/>
      <c r="F10" s="12"/>
      <c r="G10" s="1">
        <v>1.21</v>
      </c>
      <c r="O10" s="11" t="s">
        <v>8</v>
      </c>
      <c r="P10" s="11"/>
      <c r="Q10" s="11"/>
      <c r="R10" s="11"/>
      <c r="S10" s="13">
        <f>0.44*G7</f>
        <v>4.4000000000000002E-6</v>
      </c>
      <c r="T10" s="13"/>
    </row>
    <row r="11" spans="1:20" ht="15.6" x14ac:dyDescent="0.3">
      <c r="B11" s="12" t="s">
        <v>16</v>
      </c>
      <c r="C11" s="12"/>
      <c r="D11" s="12"/>
      <c r="E11" s="12"/>
      <c r="F11" s="12"/>
      <c r="G11" s="1">
        <v>1000</v>
      </c>
      <c r="O11" s="11" t="s">
        <v>9</v>
      </c>
      <c r="P11" s="11"/>
      <c r="Q11" s="11"/>
      <c r="R11" s="11"/>
      <c r="S11" s="13">
        <f>611.21*EXP((19.843-(G8/234.5))*((G8-273.15)/(G8-16.01)))</f>
        <v>2338.3705619624138</v>
      </c>
      <c r="T11" s="13"/>
    </row>
    <row r="12" spans="1:20" ht="15.6" x14ac:dyDescent="0.3">
      <c r="B12" s="12" t="s">
        <v>3</v>
      </c>
      <c r="C12" s="12"/>
      <c r="D12" s="12"/>
      <c r="E12" s="12"/>
      <c r="F12" s="12"/>
      <c r="G12" s="1">
        <v>1</v>
      </c>
      <c r="O12" s="11" t="s">
        <v>10</v>
      </c>
      <c r="P12" s="11"/>
      <c r="Q12" s="11"/>
      <c r="R12" s="11"/>
      <c r="S12" s="13">
        <f>S11*G9/100</f>
        <v>1403.0223371774482</v>
      </c>
      <c r="T12" s="13"/>
    </row>
    <row r="13" spans="1:20" ht="15.6" x14ac:dyDescent="0.3">
      <c r="B13" s="12" t="s">
        <v>24</v>
      </c>
      <c r="C13" s="12"/>
      <c r="D13" s="12"/>
      <c r="E13" s="12"/>
      <c r="F13" s="12"/>
      <c r="G13" s="4">
        <v>1.8099999999999999E-5</v>
      </c>
      <c r="O13" s="11" t="s">
        <v>11</v>
      </c>
      <c r="P13" s="11"/>
      <c r="Q13" s="11"/>
      <c r="R13" s="11"/>
      <c r="S13" s="13">
        <f>0.0000216*((G8/273.15)^1.8)</f>
        <v>2.45297656867083E-5</v>
      </c>
      <c r="T13" s="13"/>
    </row>
    <row r="14" spans="1:20" ht="15.6" x14ac:dyDescent="0.3">
      <c r="B14" s="12" t="s">
        <v>4</v>
      </c>
      <c r="C14" s="12"/>
      <c r="D14" s="12"/>
      <c r="E14" s="12"/>
      <c r="F14" s="12"/>
      <c r="G14" s="1">
        <f>S25/10</f>
        <v>2</v>
      </c>
      <c r="O14" s="11" t="s">
        <v>12</v>
      </c>
      <c r="P14" s="11"/>
      <c r="Q14" s="11"/>
      <c r="R14" s="11"/>
      <c r="S14" s="13">
        <f>8*S13*(S11-S12)/(G7*G7*G8*G11*S6)</f>
        <v>13.566764571220702</v>
      </c>
      <c r="T14" s="13"/>
    </row>
    <row r="15" spans="1:20" ht="15.6" x14ac:dyDescent="0.3">
      <c r="B15" s="12" t="s">
        <v>22</v>
      </c>
      <c r="C15" s="12"/>
      <c r="D15" s="12"/>
      <c r="E15" s="12"/>
      <c r="F15" s="12"/>
      <c r="G15" s="1">
        <f>Q25/10</f>
        <v>5</v>
      </c>
      <c r="O15" s="11" t="s">
        <v>13</v>
      </c>
      <c r="P15" s="11"/>
      <c r="Q15" s="11"/>
      <c r="R15" s="11"/>
      <c r="S15" s="11">
        <f>8*S13*(S11-S12)/(S10*S10*G11*G8*S6)</f>
        <v>70.076263281098662</v>
      </c>
      <c r="T15" s="11"/>
    </row>
    <row r="16" spans="1:20" ht="15.6" x14ac:dyDescent="0.3">
      <c r="B16" s="12" t="s">
        <v>23</v>
      </c>
      <c r="C16" s="12"/>
      <c r="D16" s="12"/>
      <c r="E16" s="12"/>
      <c r="F16" s="12"/>
      <c r="G16" s="1">
        <f>R25/10</f>
        <v>5</v>
      </c>
    </row>
    <row r="19" spans="17:26" x14ac:dyDescent="0.3">
      <c r="Q19" t="s">
        <v>21</v>
      </c>
      <c r="R19" t="s">
        <v>20</v>
      </c>
      <c r="S19" t="s">
        <v>19</v>
      </c>
    </row>
    <row r="20" spans="17:26" x14ac:dyDescent="0.3">
      <c r="Q20">
        <f>G15*60</f>
        <v>300</v>
      </c>
      <c r="R20">
        <f>G16*60</f>
        <v>300</v>
      </c>
      <c r="S20">
        <f>G14*100</f>
        <v>200</v>
      </c>
      <c r="U20">
        <v>300</v>
      </c>
      <c r="V20">
        <v>300</v>
      </c>
      <c r="W20">
        <v>200</v>
      </c>
    </row>
    <row r="22" spans="17:26" x14ac:dyDescent="0.3">
      <c r="Y22" t="s">
        <v>37</v>
      </c>
      <c r="Z22">
        <f>IF(L302&lt;G14,L302,G14)</f>
        <v>2</v>
      </c>
    </row>
    <row r="23" spans="17:26" x14ac:dyDescent="0.3">
      <c r="Y23" t="s">
        <v>38</v>
      </c>
      <c r="Z23">
        <f>ROUND(N302*3.28084,5)+0.0005</f>
        <v>-9.1999999999999998E-3</v>
      </c>
    </row>
    <row r="24" spans="17:26" x14ac:dyDescent="0.3">
      <c r="Y24" t="s">
        <v>26</v>
      </c>
      <c r="Z24" s="10">
        <f>B302*100000</f>
        <v>0.44</v>
      </c>
    </row>
    <row r="25" spans="17:26" x14ac:dyDescent="0.3">
      <c r="Q25">
        <v>50</v>
      </c>
      <c r="R25">
        <v>50</v>
      </c>
      <c r="S25">
        <v>20</v>
      </c>
    </row>
    <row r="27" spans="17:26" x14ac:dyDescent="0.3">
      <c r="Z27">
        <v>0</v>
      </c>
    </row>
    <row r="46" spans="7:7" ht="14.25" customHeight="1" x14ac:dyDescent="0.3"/>
    <row r="48" spans="7:7" x14ac:dyDescent="0.3">
      <c r="G48" s="2"/>
    </row>
    <row r="49" spans="7:7" x14ac:dyDescent="0.3">
      <c r="G49" s="3"/>
    </row>
    <row r="298" spans="1:21" x14ac:dyDescent="0.3">
      <c r="A298">
        <v>5.0000000000000001E-3</v>
      </c>
      <c r="B298">
        <f>(G15/0.3048)-(G16/0.3048)</f>
        <v>0</v>
      </c>
    </row>
    <row r="300" spans="1:21" x14ac:dyDescent="0.3">
      <c r="A300" t="s">
        <v>25</v>
      </c>
      <c r="B300" s="5" t="s">
        <v>26</v>
      </c>
      <c r="C300" s="5"/>
      <c r="D300" s="5" t="s">
        <v>27</v>
      </c>
      <c r="E300" s="5"/>
      <c r="F300" s="5" t="s">
        <v>28</v>
      </c>
      <c r="G300" s="5"/>
      <c r="H300" s="5" t="s">
        <v>29</v>
      </c>
      <c r="I300" s="5"/>
      <c r="J300" s="5" t="s">
        <v>30</v>
      </c>
      <c r="K300" s="5"/>
      <c r="L300" s="5" t="s">
        <v>31</v>
      </c>
      <c r="M300" s="5"/>
      <c r="N300" s="5" t="s">
        <v>32</v>
      </c>
      <c r="O300" s="5"/>
      <c r="P300" s="5" t="s">
        <v>33</v>
      </c>
      <c r="Q300" s="5"/>
      <c r="R300" s="5" t="s">
        <v>34</v>
      </c>
      <c r="S300" s="5"/>
      <c r="T300" s="5"/>
      <c r="U300" s="5"/>
    </row>
    <row r="301" spans="1:21" x14ac:dyDescent="0.3">
      <c r="A301" s="6">
        <v>0</v>
      </c>
      <c r="B301" s="7">
        <f>G7</f>
        <v>1.0000000000000001E-5</v>
      </c>
      <c r="C301" s="7"/>
      <c r="D301" s="8">
        <f>S14</f>
        <v>13.566764571220702</v>
      </c>
      <c r="E301" s="8"/>
      <c r="F301" s="7">
        <f>G11*G7*G7*S9/(18*3.1415927*G13)</f>
        <v>9.5844688070382471E-4</v>
      </c>
      <c r="G301" s="7"/>
      <c r="H301" s="7">
        <f>G10*F301*B301/G13</f>
        <v>6.4072968268045745E-4</v>
      </c>
      <c r="I301" s="7"/>
      <c r="J301" s="8">
        <f>24*(1+0.15*(H301^0.687))/H301</f>
        <v>37493.253315358059</v>
      </c>
      <c r="K301" s="8"/>
      <c r="L301" s="8">
        <v>0</v>
      </c>
      <c r="M301" s="8"/>
      <c r="N301" s="8">
        <v>0</v>
      </c>
      <c r="O301" s="8"/>
      <c r="P301" s="8">
        <v>1.0000000000000001E-5</v>
      </c>
      <c r="Q301" s="8"/>
      <c r="R301" s="8">
        <v>0</v>
      </c>
      <c r="S301" s="8"/>
      <c r="T301" s="5"/>
      <c r="U301" s="5"/>
    </row>
    <row r="302" spans="1:21" x14ac:dyDescent="0.3">
      <c r="A302" s="5">
        <v>5.0049999999999155</v>
      </c>
      <c r="B302" s="5">
        <f>IF((D303*A302&lt;1),MAX(S10,(G7*SQRT(ABS(1-D303*A302)))),(S10))</f>
        <v>4.4000000000000002E-6</v>
      </c>
      <c r="C302" s="5"/>
      <c r="D302" s="5">
        <f>8*S13*(S11-S12)/(B302*B302*G11*G8*S6)</f>
        <v>70.076263281098662</v>
      </c>
      <c r="E302" s="5"/>
      <c r="F302" s="5">
        <f>SQRT(4*B302*(G11-G10)*S9/(3*G10*J303))</f>
        <v>5.8200822436420166E-4</v>
      </c>
      <c r="G302" s="5"/>
      <c r="H302" s="9">
        <f>G10*F302*B302/G13</f>
        <v>1.7119402135442043E-4</v>
      </c>
      <c r="I302" s="5"/>
      <c r="J302" s="5">
        <f>24*(1+0.15*(H302^0.687))/H302</f>
        <v>140246.16429656479</v>
      </c>
      <c r="K302" s="5"/>
      <c r="L302" s="5">
        <f>L303+G12*A298</f>
        <v>5.0049999999999155</v>
      </c>
      <c r="M302" s="5"/>
      <c r="N302" s="5">
        <f>N303-F302*A298</f>
        <v>-2.9554374509680147E-3</v>
      </c>
      <c r="O302" s="5"/>
      <c r="P302" s="5">
        <f>S7*(L302^S8)</f>
        <v>0.2639994400094906</v>
      </c>
      <c r="Q302" s="5"/>
      <c r="R302" s="5">
        <f>R303+A298*(1/((SQRT(2*3.1412927)*P302)^3))*EXP(-(1/(2*P302*P302))*((G14-L302)^2+(N302-B298)^2))</f>
        <v>12.349810075336347</v>
      </c>
      <c r="S302" s="5"/>
    </row>
    <row r="303" spans="1:21" x14ac:dyDescent="0.3">
      <c r="A303">
        <v>4.9999999999999156</v>
      </c>
      <c r="B303">
        <v>4.4000000000000002E-6</v>
      </c>
      <c r="D303">
        <v>70.076263281098662</v>
      </c>
      <c r="F303">
        <v>5.8200822436420166E-4</v>
      </c>
      <c r="H303">
        <v>1.7119402135442043E-4</v>
      </c>
      <c r="J303">
        <v>140246.16429656479</v>
      </c>
      <c r="L303">
        <v>4.9999999999999156</v>
      </c>
      <c r="N303">
        <v>-2.9525274098461938E-3</v>
      </c>
      <c r="P303">
        <v>0.26375679346226277</v>
      </c>
      <c r="R303">
        <v>12.349810075336347</v>
      </c>
      <c r="S303" s="5"/>
    </row>
    <row r="304" spans="1:21" x14ac:dyDescent="0.3">
      <c r="A304">
        <v>4.9949999999999157</v>
      </c>
      <c r="B304">
        <v>4.4000000000000002E-6</v>
      </c>
      <c r="D304">
        <v>70.076263281098662</v>
      </c>
      <c r="F304">
        <v>5.8200822436420166E-4</v>
      </c>
      <c r="H304">
        <v>1.7119402135442043E-4</v>
      </c>
      <c r="J304">
        <v>140246.16429656479</v>
      </c>
      <c r="L304">
        <v>4.9949999999999157</v>
      </c>
      <c r="N304">
        <v>-2.9496173687243729E-3</v>
      </c>
      <c r="P304">
        <v>0.26351412750253156</v>
      </c>
      <c r="R304">
        <v>12.349810075336347</v>
      </c>
    </row>
    <row r="305" spans="1:19" x14ac:dyDescent="0.3">
      <c r="A305">
        <v>4.9899999999999158</v>
      </c>
      <c r="B305">
        <v>4.4000000000000002E-6</v>
      </c>
      <c r="D305">
        <v>70.076263281098662</v>
      </c>
      <c r="F305">
        <v>5.8200822436420166E-4</v>
      </c>
      <c r="H305">
        <v>1.7119402135442043E-4</v>
      </c>
      <c r="J305">
        <v>140246.16429656479</v>
      </c>
      <c r="L305">
        <v>4.9899999999999158</v>
      </c>
      <c r="N305">
        <v>-2.9467073276025521E-3</v>
      </c>
      <c r="P305">
        <v>0.26327144210930914</v>
      </c>
      <c r="R305">
        <v>12.349810075336347</v>
      </c>
    </row>
    <row r="306" spans="1:19" x14ac:dyDescent="0.3">
      <c r="A306">
        <v>4.9849999999999159</v>
      </c>
      <c r="B306">
        <v>4.4000000000000002E-6</v>
      </c>
      <c r="D306">
        <v>70.076263281098662</v>
      </c>
      <c r="F306">
        <v>5.8200822436420166E-4</v>
      </c>
      <c r="H306">
        <v>1.7119402135442043E-4</v>
      </c>
      <c r="J306">
        <v>140246.16429656479</v>
      </c>
      <c r="L306">
        <v>4.9849999999999159</v>
      </c>
      <c r="N306">
        <v>-2.9437972864807312E-3</v>
      </c>
      <c r="P306">
        <v>0.26302873726156478</v>
      </c>
      <c r="R306">
        <v>12.349810075336347</v>
      </c>
    </row>
    <row r="307" spans="1:19" x14ac:dyDescent="0.3">
      <c r="A307">
        <v>4.979999999999916</v>
      </c>
      <c r="B307">
        <v>4.4000000000000002E-6</v>
      </c>
      <c r="D307">
        <v>70.076263281098662</v>
      </c>
      <c r="F307">
        <v>5.8200822436420166E-4</v>
      </c>
      <c r="H307">
        <v>1.7119402135442043E-4</v>
      </c>
      <c r="J307">
        <v>140246.16429656479</v>
      </c>
      <c r="L307">
        <v>4.979999999999916</v>
      </c>
      <c r="N307">
        <v>-2.9408872453589104E-3</v>
      </c>
      <c r="P307">
        <v>0.26278601293822346</v>
      </c>
      <c r="R307">
        <v>12.349810075336347</v>
      </c>
    </row>
    <row r="308" spans="1:19" x14ac:dyDescent="0.3">
      <c r="A308">
        <v>4.9749999999999162</v>
      </c>
      <c r="B308">
        <v>4.4000000000000002E-6</v>
      </c>
      <c r="D308">
        <v>70.076263281098662</v>
      </c>
      <c r="F308">
        <v>5.8200822436420166E-4</v>
      </c>
      <c r="H308">
        <v>1.7119402135442043E-4</v>
      </c>
      <c r="J308">
        <v>140246.16429656479</v>
      </c>
      <c r="L308">
        <v>4.9749999999999162</v>
      </c>
      <c r="N308">
        <v>-2.9379772042370895E-3</v>
      </c>
      <c r="P308">
        <v>0.26254326911816606</v>
      </c>
      <c r="R308">
        <v>12.349810075336347</v>
      </c>
    </row>
    <row r="309" spans="1:19" x14ac:dyDescent="0.3">
      <c r="A309">
        <v>4.9699999999999163</v>
      </c>
      <c r="B309">
        <v>4.4000000000000002E-6</v>
      </c>
      <c r="D309">
        <v>70.076263281098662</v>
      </c>
      <c r="F309">
        <v>5.8200822436420166E-4</v>
      </c>
      <c r="H309">
        <v>1.7119402135442043E-4</v>
      </c>
      <c r="J309">
        <v>140246.16429656479</v>
      </c>
      <c r="L309">
        <v>4.9699999999999163</v>
      </c>
      <c r="N309">
        <v>-2.9350671631152687E-3</v>
      </c>
      <c r="P309">
        <v>0.26230050578022962</v>
      </c>
      <c r="R309">
        <v>12.349810075336347</v>
      </c>
      <c r="S309" s="5"/>
    </row>
    <row r="310" spans="1:19" x14ac:dyDescent="0.3">
      <c r="A310">
        <v>4.9649999999999164</v>
      </c>
      <c r="B310">
        <v>4.4000000000000002E-6</v>
      </c>
      <c r="D310">
        <v>70.076263281098662</v>
      </c>
      <c r="F310">
        <v>5.8200822436420166E-4</v>
      </c>
      <c r="H310">
        <v>1.7119402135442043E-4</v>
      </c>
      <c r="J310">
        <v>140246.16429656479</v>
      </c>
      <c r="L310">
        <v>4.9649999999999164</v>
      </c>
      <c r="N310">
        <v>-2.9321571219934478E-3</v>
      </c>
      <c r="P310">
        <v>0.26205772290320661</v>
      </c>
      <c r="R310">
        <v>12.349810075336347</v>
      </c>
      <c r="S310" s="5"/>
    </row>
    <row r="311" spans="1:19" x14ac:dyDescent="0.3">
      <c r="A311">
        <v>4.9599999999999165</v>
      </c>
      <c r="B311">
        <v>4.4000000000000002E-6</v>
      </c>
      <c r="D311">
        <v>70.076263281098662</v>
      </c>
      <c r="F311">
        <v>5.8200822436420166E-4</v>
      </c>
      <c r="H311">
        <v>1.7119402135442043E-4</v>
      </c>
      <c r="J311">
        <v>140246.16429656479</v>
      </c>
      <c r="L311">
        <v>4.9599999999999165</v>
      </c>
      <c r="N311">
        <v>-2.9292470808716269E-3</v>
      </c>
      <c r="P311">
        <v>0.26181492046584526</v>
      </c>
      <c r="R311">
        <v>12.349810075336347</v>
      </c>
      <c r="S311" s="5"/>
    </row>
    <row r="312" spans="1:19" x14ac:dyDescent="0.3">
      <c r="A312">
        <v>4.9549999999999166</v>
      </c>
      <c r="B312">
        <v>4.4000000000000002E-6</v>
      </c>
      <c r="D312">
        <v>70.076263281098662</v>
      </c>
      <c r="F312">
        <v>5.8200822436420166E-4</v>
      </c>
      <c r="H312">
        <v>1.7119402135442043E-4</v>
      </c>
      <c r="J312">
        <v>140246.16429656479</v>
      </c>
      <c r="L312">
        <v>4.9549999999999166</v>
      </c>
      <c r="N312">
        <v>-2.9263370397498061E-3</v>
      </c>
      <c r="P312">
        <v>0.2615720984468492</v>
      </c>
      <c r="R312">
        <v>12.349810075336347</v>
      </c>
      <c r="S312" s="5"/>
    </row>
    <row r="313" spans="1:19" x14ac:dyDescent="0.3">
      <c r="A313">
        <v>4.9499999999999167</v>
      </c>
      <c r="B313">
        <v>4.4000000000000002E-6</v>
      </c>
      <c r="D313">
        <v>70.076263281098662</v>
      </c>
      <c r="F313">
        <v>5.8200822436420166E-4</v>
      </c>
      <c r="H313">
        <v>1.7119402135442043E-4</v>
      </c>
      <c r="J313">
        <v>140246.16429656479</v>
      </c>
      <c r="L313">
        <v>4.9499999999999167</v>
      </c>
      <c r="N313">
        <v>-2.9234269986279852E-3</v>
      </c>
      <c r="P313">
        <v>0.26132925682487729</v>
      </c>
      <c r="R313">
        <v>12.349810075336347</v>
      </c>
      <c r="S313" s="5"/>
    </row>
    <row r="314" spans="1:19" x14ac:dyDescent="0.3">
      <c r="A314">
        <v>4.9449999999999168</v>
      </c>
      <c r="B314">
        <v>4.4000000000000002E-6</v>
      </c>
      <c r="D314">
        <v>70.076263281098662</v>
      </c>
      <c r="F314">
        <v>5.8200822436420166E-4</v>
      </c>
      <c r="H314">
        <v>1.7119402135442043E-4</v>
      </c>
      <c r="J314">
        <v>140246.16429656479</v>
      </c>
      <c r="L314">
        <v>4.9449999999999168</v>
      </c>
      <c r="N314">
        <v>-2.9205169575061644E-3</v>
      </c>
      <c r="P314">
        <v>0.26108639557854363</v>
      </c>
      <c r="R314">
        <v>12.349810075336347</v>
      </c>
      <c r="S314" s="5"/>
    </row>
    <row r="315" spans="1:19" x14ac:dyDescent="0.3">
      <c r="A315">
        <v>4.9399999999999169</v>
      </c>
      <c r="B315">
        <v>4.4000000000000002E-6</v>
      </c>
      <c r="D315">
        <v>70.076263281098662</v>
      </c>
      <c r="F315">
        <v>5.8200822436420166E-4</v>
      </c>
      <c r="H315">
        <v>1.7119402135442043E-4</v>
      </c>
      <c r="J315">
        <v>140246.16429656479</v>
      </c>
      <c r="L315">
        <v>4.9399999999999169</v>
      </c>
      <c r="N315">
        <v>-2.9176069163843435E-3</v>
      </c>
      <c r="P315">
        <v>0.26084351468641731</v>
      </c>
      <c r="R315">
        <v>12.349810075336347</v>
      </c>
    </row>
    <row r="316" spans="1:19" x14ac:dyDescent="0.3">
      <c r="A316">
        <v>4.934999999999917</v>
      </c>
      <c r="B316">
        <v>4.4000000000000002E-6</v>
      </c>
      <c r="D316">
        <v>70.076263281098662</v>
      </c>
      <c r="F316">
        <v>5.8200822436420166E-4</v>
      </c>
      <c r="H316">
        <v>1.7119402135442043E-4</v>
      </c>
      <c r="J316">
        <v>140246.16429656479</v>
      </c>
      <c r="L316">
        <v>4.934999999999917</v>
      </c>
      <c r="N316">
        <v>-2.9146968752625227E-3</v>
      </c>
      <c r="P316">
        <v>0.26060061412702218</v>
      </c>
      <c r="R316">
        <v>12.349810075336347</v>
      </c>
    </row>
    <row r="317" spans="1:19" x14ac:dyDescent="0.3">
      <c r="A317">
        <v>4.9299999999999171</v>
      </c>
      <c r="B317">
        <v>4.4000000000000002E-6</v>
      </c>
      <c r="D317">
        <v>70.076263281098662</v>
      </c>
      <c r="F317">
        <v>5.8200822436420166E-4</v>
      </c>
      <c r="H317">
        <v>1.7119402135442043E-4</v>
      </c>
      <c r="J317">
        <v>140246.16429656479</v>
      </c>
      <c r="L317">
        <v>4.9299999999999171</v>
      </c>
      <c r="N317">
        <v>-2.9117868341407018E-3</v>
      </c>
      <c r="P317">
        <v>0.260357693878837</v>
      </c>
      <c r="R317">
        <v>12.349810075336347</v>
      </c>
    </row>
    <row r="318" spans="1:19" x14ac:dyDescent="0.3">
      <c r="A318">
        <v>4.9249999999999172</v>
      </c>
      <c r="B318">
        <v>4.4000000000000002E-6</v>
      </c>
      <c r="D318">
        <v>70.076263281098662</v>
      </c>
      <c r="F318">
        <v>5.8200822436420166E-4</v>
      </c>
      <c r="H318">
        <v>1.7119402135442043E-4</v>
      </c>
      <c r="J318">
        <v>140246.16429656479</v>
      </c>
      <c r="L318">
        <v>4.9249999999999172</v>
      </c>
      <c r="N318">
        <v>-2.9088767930188809E-3</v>
      </c>
      <c r="P318">
        <v>0.26011475392029521</v>
      </c>
      <c r="R318">
        <v>12.349810075336347</v>
      </c>
    </row>
    <row r="319" spans="1:19" x14ac:dyDescent="0.3">
      <c r="A319">
        <v>4.9199999999999173</v>
      </c>
      <c r="B319">
        <v>4.4000000000000002E-6</v>
      </c>
      <c r="D319">
        <v>70.076263281098662</v>
      </c>
      <c r="F319">
        <v>5.8200822436420166E-4</v>
      </c>
      <c r="H319">
        <v>1.7119402135442043E-4</v>
      </c>
      <c r="J319">
        <v>140246.16429656479</v>
      </c>
      <c r="L319">
        <v>4.9199999999999173</v>
      </c>
      <c r="N319">
        <v>-2.9059667518970601E-3</v>
      </c>
      <c r="P319">
        <v>0.2598717942297844</v>
      </c>
      <c r="R319">
        <v>12.349810075336347</v>
      </c>
    </row>
    <row r="320" spans="1:19" x14ac:dyDescent="0.3">
      <c r="A320">
        <v>4.9149999999999174</v>
      </c>
      <c r="B320">
        <v>4.4000000000000002E-6</v>
      </c>
      <c r="D320">
        <v>70.076263281098662</v>
      </c>
      <c r="F320">
        <v>5.8200822436420166E-4</v>
      </c>
      <c r="H320">
        <v>1.7119402135442043E-4</v>
      </c>
      <c r="J320">
        <v>140246.16429656479</v>
      </c>
      <c r="L320">
        <v>4.9149999999999174</v>
      </c>
      <c r="N320">
        <v>-2.9030567107752392E-3</v>
      </c>
      <c r="P320">
        <v>0.2596288147856467</v>
      </c>
      <c r="R320">
        <v>12.349810075336347</v>
      </c>
    </row>
    <row r="321" spans="1:18" x14ac:dyDescent="0.3">
      <c r="A321">
        <v>4.9099999999999175</v>
      </c>
      <c r="B321">
        <v>4.4000000000000002E-6</v>
      </c>
      <c r="D321">
        <v>70.076263281098662</v>
      </c>
      <c r="F321">
        <v>5.8200822436420166E-4</v>
      </c>
      <c r="H321">
        <v>1.7119402135442043E-4</v>
      </c>
      <c r="J321">
        <v>140246.16429656479</v>
      </c>
      <c r="L321">
        <v>4.9099999999999175</v>
      </c>
      <c r="N321">
        <v>-2.9001466696534184E-3</v>
      </c>
      <c r="P321">
        <v>0.25938581556617835</v>
      </c>
      <c r="R321">
        <v>12.349810075336347</v>
      </c>
    </row>
    <row r="322" spans="1:18" x14ac:dyDescent="0.3">
      <c r="A322">
        <v>4.9049999999999176</v>
      </c>
      <c r="B322">
        <v>4.4000000000000002E-6</v>
      </c>
      <c r="D322">
        <v>70.076263281098662</v>
      </c>
      <c r="F322">
        <v>5.8200822436420166E-4</v>
      </c>
      <c r="H322">
        <v>1.7119402135442043E-4</v>
      </c>
      <c r="J322">
        <v>140246.16429656479</v>
      </c>
      <c r="L322">
        <v>4.9049999999999176</v>
      </c>
      <c r="N322">
        <v>-2.8972366285315975E-3</v>
      </c>
      <c r="P322">
        <v>0.25914279654962968</v>
      </c>
      <c r="R322">
        <v>12.349810075336347</v>
      </c>
    </row>
    <row r="323" spans="1:18" x14ac:dyDescent="0.3">
      <c r="A323">
        <v>4.8999999999999178</v>
      </c>
      <c r="B323">
        <v>4.4000000000000002E-6</v>
      </c>
      <c r="D323">
        <v>70.076263281098662</v>
      </c>
      <c r="F323">
        <v>5.8200822436420166E-4</v>
      </c>
      <c r="H323">
        <v>1.7119402135442043E-4</v>
      </c>
      <c r="J323">
        <v>140246.16429656479</v>
      </c>
      <c r="L323">
        <v>4.8999999999999178</v>
      </c>
      <c r="N323">
        <v>-2.8943265874097767E-3</v>
      </c>
      <c r="P323">
        <v>0.25889975771420476</v>
      </c>
      <c r="R323">
        <v>12.349810075336347</v>
      </c>
    </row>
    <row r="324" spans="1:18" x14ac:dyDescent="0.3">
      <c r="A324">
        <v>4.8949999999999179</v>
      </c>
      <c r="B324">
        <v>4.4000000000000002E-6</v>
      </c>
      <c r="D324">
        <v>70.076263281098662</v>
      </c>
      <c r="F324">
        <v>5.8200822436420166E-4</v>
      </c>
      <c r="H324">
        <v>1.7119402135442043E-4</v>
      </c>
      <c r="J324">
        <v>140246.16429656479</v>
      </c>
      <c r="L324">
        <v>4.8949999999999179</v>
      </c>
      <c r="N324">
        <v>-2.8914165462879558E-3</v>
      </c>
      <c r="P324">
        <v>0.25865669903806154</v>
      </c>
      <c r="R324">
        <v>12.349810075336347</v>
      </c>
    </row>
    <row r="325" spans="1:18" x14ac:dyDescent="0.3">
      <c r="A325">
        <v>4.889999999999918</v>
      </c>
      <c r="B325">
        <v>4.4000000000000002E-6</v>
      </c>
      <c r="D325">
        <v>70.076263281098662</v>
      </c>
      <c r="F325">
        <v>5.8200822436420166E-4</v>
      </c>
      <c r="H325">
        <v>1.7119402135442043E-4</v>
      </c>
      <c r="J325">
        <v>140246.16429656479</v>
      </c>
      <c r="L325">
        <v>4.889999999999918</v>
      </c>
      <c r="N325">
        <v>-2.8885065051661349E-3</v>
      </c>
      <c r="P325">
        <v>0.25841362049931144</v>
      </c>
      <c r="R325">
        <v>12.349810075336347</v>
      </c>
    </row>
    <row r="326" spans="1:18" x14ac:dyDescent="0.3">
      <c r="A326">
        <v>4.8849999999999181</v>
      </c>
      <c r="B326">
        <v>4.4000000000000002E-6</v>
      </c>
      <c r="D326">
        <v>70.076263281098662</v>
      </c>
      <c r="F326">
        <v>5.8200822436420166E-4</v>
      </c>
      <c r="H326">
        <v>1.7119402135442043E-4</v>
      </c>
      <c r="J326">
        <v>140246.16429656479</v>
      </c>
      <c r="L326">
        <v>4.8849999999999181</v>
      </c>
      <c r="N326">
        <v>-2.8855964640443141E-3</v>
      </c>
      <c r="P326">
        <v>0.25817052207601943</v>
      </c>
      <c r="R326">
        <v>12.349810075336347</v>
      </c>
    </row>
    <row r="327" spans="1:18" x14ac:dyDescent="0.3">
      <c r="A327">
        <v>4.8799999999999182</v>
      </c>
      <c r="B327">
        <v>4.4000000000000002E-6</v>
      </c>
      <c r="D327">
        <v>70.076263281098662</v>
      </c>
      <c r="F327">
        <v>5.8200822436420166E-4</v>
      </c>
      <c r="H327">
        <v>1.7119402135442043E-4</v>
      </c>
      <c r="J327">
        <v>140246.16429656479</v>
      </c>
      <c r="L327">
        <v>4.8799999999999182</v>
      </c>
      <c r="N327">
        <v>-2.8826864229224932E-3</v>
      </c>
      <c r="P327">
        <v>0.25792740374620371</v>
      </c>
      <c r="R327">
        <v>12.349810075336347</v>
      </c>
    </row>
    <row r="328" spans="1:18" x14ac:dyDescent="0.3">
      <c r="A328">
        <v>4.8749999999999183</v>
      </c>
      <c r="B328">
        <v>4.4000000000000002E-6</v>
      </c>
      <c r="D328">
        <v>70.076263281098662</v>
      </c>
      <c r="F328">
        <v>5.8200822436420166E-4</v>
      </c>
      <c r="H328">
        <v>1.7119402135442043E-4</v>
      </c>
      <c r="J328">
        <v>140246.16429656479</v>
      </c>
      <c r="L328">
        <v>4.8749999999999183</v>
      </c>
      <c r="N328">
        <v>-2.8797763818006724E-3</v>
      </c>
      <c r="P328">
        <v>0.25768426548783568</v>
      </c>
      <c r="R328">
        <v>12.349810075336347</v>
      </c>
    </row>
    <row r="329" spans="1:18" x14ac:dyDescent="0.3">
      <c r="A329">
        <v>4.8699999999999184</v>
      </c>
      <c r="B329">
        <v>4.4000000000000002E-6</v>
      </c>
      <c r="D329">
        <v>70.076263281098662</v>
      </c>
      <c r="F329">
        <v>5.8200822436420166E-4</v>
      </c>
      <c r="H329">
        <v>1.7119402135442043E-4</v>
      </c>
      <c r="J329">
        <v>140246.16429656479</v>
      </c>
      <c r="L329">
        <v>4.8699999999999184</v>
      </c>
      <c r="N329">
        <v>-2.8768663406788515E-3</v>
      </c>
      <c r="P329">
        <v>0.25744110727883973</v>
      </c>
      <c r="R329">
        <v>12.349810075336347</v>
      </c>
    </row>
    <row r="330" spans="1:18" x14ac:dyDescent="0.3">
      <c r="A330">
        <v>4.8649999999999185</v>
      </c>
      <c r="B330">
        <v>4.4000000000000002E-6</v>
      </c>
      <c r="D330">
        <v>70.076263281098662</v>
      </c>
      <c r="F330">
        <v>5.8200822436420166E-4</v>
      </c>
      <c r="H330">
        <v>1.7119402135442043E-4</v>
      </c>
      <c r="J330">
        <v>140246.16429656479</v>
      </c>
      <c r="L330">
        <v>4.8649999999999185</v>
      </c>
      <c r="N330">
        <v>-2.8739562995570306E-3</v>
      </c>
      <c r="P330">
        <v>0.25719792909709316</v>
      </c>
      <c r="R330">
        <v>12.349810075336347</v>
      </c>
    </row>
    <row r="331" spans="1:18" x14ac:dyDescent="0.3">
      <c r="A331">
        <v>4.8599999999999186</v>
      </c>
      <c r="B331">
        <v>4.4000000000000002E-6</v>
      </c>
      <c r="D331">
        <v>70.076263281098662</v>
      </c>
      <c r="F331">
        <v>5.8200822436420166E-4</v>
      </c>
      <c r="H331">
        <v>1.7119402135442043E-4</v>
      </c>
      <c r="J331">
        <v>140246.16429656479</v>
      </c>
      <c r="L331">
        <v>4.8599999999999186</v>
      </c>
      <c r="N331">
        <v>-2.8710462584352098E-3</v>
      </c>
      <c r="P331">
        <v>0.25695473092042581</v>
      </c>
      <c r="R331">
        <v>12.349810075336347</v>
      </c>
    </row>
    <row r="332" spans="1:18" x14ac:dyDescent="0.3">
      <c r="A332">
        <v>4.8549999999999187</v>
      </c>
      <c r="B332">
        <v>4.4000000000000002E-6</v>
      </c>
      <c r="D332">
        <v>70.076263281098662</v>
      </c>
      <c r="F332">
        <v>5.8200822436420166E-4</v>
      </c>
      <c r="H332">
        <v>1.7119402135442043E-4</v>
      </c>
      <c r="J332">
        <v>140246.16429656479</v>
      </c>
      <c r="L332">
        <v>4.8549999999999187</v>
      </c>
      <c r="N332">
        <v>-2.8681362173133889E-3</v>
      </c>
      <c r="P332">
        <v>0.25671151272662018</v>
      </c>
      <c r="R332">
        <v>12.349810075336347</v>
      </c>
    </row>
    <row r="333" spans="1:18" x14ac:dyDescent="0.3">
      <c r="A333">
        <v>4.8499999999999188</v>
      </c>
      <c r="B333">
        <v>4.4000000000000002E-6</v>
      </c>
      <c r="D333">
        <v>70.076263281098662</v>
      </c>
      <c r="F333">
        <v>5.8200822436420166E-4</v>
      </c>
      <c r="H333">
        <v>1.7119402135442043E-4</v>
      </c>
      <c r="J333">
        <v>140246.16429656479</v>
      </c>
      <c r="L333">
        <v>4.8499999999999188</v>
      </c>
      <c r="N333">
        <v>-2.8652261761915681E-3</v>
      </c>
      <c r="P333">
        <v>0.2564682744934112</v>
      </c>
      <c r="R333">
        <v>12.349810075336347</v>
      </c>
    </row>
    <row r="334" spans="1:18" x14ac:dyDescent="0.3">
      <c r="A334">
        <v>4.8449999999999189</v>
      </c>
      <c r="B334">
        <v>4.4000000000000002E-6</v>
      </c>
      <c r="D334">
        <v>70.076263281098662</v>
      </c>
      <c r="F334">
        <v>5.8200822436420166E-4</v>
      </c>
      <c r="H334">
        <v>1.7119402135442043E-4</v>
      </c>
      <c r="J334">
        <v>140246.16429656479</v>
      </c>
      <c r="L334">
        <v>4.8449999999999189</v>
      </c>
      <c r="N334">
        <v>-2.8623161350697472E-3</v>
      </c>
      <c r="P334">
        <v>0.25622501619848609</v>
      </c>
      <c r="R334">
        <v>12.349810075336347</v>
      </c>
    </row>
    <row r="335" spans="1:18" x14ac:dyDescent="0.3">
      <c r="A335">
        <v>4.839999999999919</v>
      </c>
      <c r="B335">
        <v>4.4000000000000002E-6</v>
      </c>
      <c r="D335">
        <v>70.076263281098662</v>
      </c>
      <c r="F335">
        <v>5.8200822436420166E-4</v>
      </c>
      <c r="H335">
        <v>1.7119402135442043E-4</v>
      </c>
      <c r="J335">
        <v>140246.16429656479</v>
      </c>
      <c r="L335">
        <v>4.839999999999919</v>
      </c>
      <c r="N335">
        <v>-2.8594060939479264E-3</v>
      </c>
      <c r="P335">
        <v>0.25598173781948402</v>
      </c>
      <c r="R335">
        <v>12.349810075336347</v>
      </c>
    </row>
    <row r="336" spans="1:18" x14ac:dyDescent="0.3">
      <c r="A336">
        <v>4.8349999999999191</v>
      </c>
      <c r="B336">
        <v>4.4000000000000002E-6</v>
      </c>
      <c r="D336">
        <v>70.076263281098662</v>
      </c>
      <c r="F336">
        <v>5.8200822436420166E-4</v>
      </c>
      <c r="H336">
        <v>1.7119402135442043E-4</v>
      </c>
      <c r="J336">
        <v>140246.16429656479</v>
      </c>
      <c r="L336">
        <v>4.8349999999999191</v>
      </c>
      <c r="N336">
        <v>-2.8564960528261055E-3</v>
      </c>
      <c r="P336">
        <v>0.2557384393339962</v>
      </c>
      <c r="R336">
        <v>12.349810075336347</v>
      </c>
    </row>
    <row r="337" spans="1:18" x14ac:dyDescent="0.3">
      <c r="A337">
        <v>4.8299999999999192</v>
      </c>
      <c r="B337">
        <v>4.4000000000000002E-6</v>
      </c>
      <c r="D337">
        <v>70.076263281098662</v>
      </c>
      <c r="F337">
        <v>5.8200822436420166E-4</v>
      </c>
      <c r="H337">
        <v>1.7119402135442043E-4</v>
      </c>
      <c r="J337">
        <v>140246.16429656479</v>
      </c>
      <c r="L337">
        <v>4.8299999999999192</v>
      </c>
      <c r="N337">
        <v>-2.8535860117042846E-3</v>
      </c>
      <c r="P337">
        <v>0.2554951207195657</v>
      </c>
      <c r="R337">
        <v>12.349810075336347</v>
      </c>
    </row>
    <row r="338" spans="1:18" x14ac:dyDescent="0.3">
      <c r="A338">
        <v>4.8249999999999194</v>
      </c>
      <c r="B338">
        <v>4.4000000000000002E-6</v>
      </c>
      <c r="D338">
        <v>70.076263281098662</v>
      </c>
      <c r="F338">
        <v>5.8200822436420166E-4</v>
      </c>
      <c r="H338">
        <v>1.7119402135442043E-4</v>
      </c>
      <c r="J338">
        <v>140246.16429656479</v>
      </c>
      <c r="L338">
        <v>4.8249999999999194</v>
      </c>
      <c r="N338">
        <v>-2.8506759705824638E-3</v>
      </c>
      <c r="P338">
        <v>0.25525178195368714</v>
      </c>
      <c r="R338">
        <v>12.349810075336347</v>
      </c>
    </row>
    <row r="339" spans="1:18" x14ac:dyDescent="0.3">
      <c r="A339">
        <v>4.8199999999999195</v>
      </c>
      <c r="B339">
        <v>4.4000000000000002E-6</v>
      </c>
      <c r="D339">
        <v>70.076263281098662</v>
      </c>
      <c r="F339">
        <v>5.8200822436420166E-4</v>
      </c>
      <c r="H339">
        <v>1.7119402135442043E-4</v>
      </c>
      <c r="J339">
        <v>140246.16429656479</v>
      </c>
      <c r="L339">
        <v>4.8199999999999195</v>
      </c>
      <c r="N339">
        <v>-2.8477659294606429E-3</v>
      </c>
      <c r="P339">
        <v>0.25500842301380672</v>
      </c>
      <c r="R339">
        <v>12.349810075336347</v>
      </c>
    </row>
    <row r="340" spans="1:18" x14ac:dyDescent="0.3">
      <c r="A340">
        <v>4.8149999999999196</v>
      </c>
      <c r="B340">
        <v>4.4000000000000002E-6</v>
      </c>
      <c r="D340">
        <v>70.076263281098662</v>
      </c>
      <c r="F340">
        <v>5.8200822436420166E-4</v>
      </c>
      <c r="H340">
        <v>1.7119402135442043E-4</v>
      </c>
      <c r="J340">
        <v>140246.16429656479</v>
      </c>
      <c r="L340">
        <v>4.8149999999999196</v>
      </c>
      <c r="N340">
        <v>-2.8448558883388221E-3</v>
      </c>
      <c r="P340">
        <v>0.2547650438773218</v>
      </c>
      <c r="R340">
        <v>12.349810075336347</v>
      </c>
    </row>
    <row r="341" spans="1:18" x14ac:dyDescent="0.3">
      <c r="A341">
        <v>4.8099999999999197</v>
      </c>
      <c r="B341">
        <v>4.4000000000000002E-6</v>
      </c>
      <c r="D341">
        <v>70.076263281098662</v>
      </c>
      <c r="F341">
        <v>5.8200822436420166E-4</v>
      </c>
      <c r="H341">
        <v>1.7119402135442043E-4</v>
      </c>
      <c r="J341">
        <v>140246.16429656479</v>
      </c>
      <c r="L341">
        <v>4.8099999999999197</v>
      </c>
      <c r="N341">
        <v>-2.8419458472170012E-3</v>
      </c>
      <c r="P341">
        <v>0.25452164452158116</v>
      </c>
      <c r="R341">
        <v>12.349810075336347</v>
      </c>
    </row>
    <row r="342" spans="1:18" x14ac:dyDescent="0.3">
      <c r="A342">
        <v>4.8049999999999198</v>
      </c>
      <c r="B342">
        <v>4.4000000000000002E-6</v>
      </c>
      <c r="D342">
        <v>70.076263281098662</v>
      </c>
      <c r="F342">
        <v>5.8200822436420166E-4</v>
      </c>
      <c r="H342">
        <v>1.7119402135442043E-4</v>
      </c>
      <c r="J342">
        <v>140246.16429656479</v>
      </c>
      <c r="L342">
        <v>4.8049999999999198</v>
      </c>
      <c r="N342">
        <v>-2.8390358060951804E-3</v>
      </c>
      <c r="P342">
        <v>0.25427822492388441</v>
      </c>
      <c r="R342">
        <v>12.349810075336347</v>
      </c>
    </row>
    <row r="343" spans="1:18" x14ac:dyDescent="0.3">
      <c r="A343">
        <v>4.7999999999999199</v>
      </c>
      <c r="B343">
        <v>4.4000000000000002E-6</v>
      </c>
      <c r="D343">
        <v>70.076263281098662</v>
      </c>
      <c r="F343">
        <v>5.8200822436420166E-4</v>
      </c>
      <c r="H343">
        <v>1.7119402135442043E-4</v>
      </c>
      <c r="J343">
        <v>140246.16429656479</v>
      </c>
      <c r="L343">
        <v>4.7999999999999199</v>
      </c>
      <c r="N343">
        <v>-2.8361257649733595E-3</v>
      </c>
      <c r="P343">
        <v>0.25403478506148208</v>
      </c>
      <c r="R343">
        <v>12.349810075336347</v>
      </c>
    </row>
    <row r="344" spans="1:18" x14ac:dyDescent="0.3">
      <c r="A344">
        <v>4.79499999999992</v>
      </c>
      <c r="B344">
        <v>4.4000000000000002E-6</v>
      </c>
      <c r="D344">
        <v>70.076263281098662</v>
      </c>
      <c r="F344">
        <v>5.8200822436420166E-4</v>
      </c>
      <c r="H344">
        <v>1.7119402135442043E-4</v>
      </c>
      <c r="J344">
        <v>140246.16429656479</v>
      </c>
      <c r="L344">
        <v>4.79499999999992</v>
      </c>
      <c r="N344">
        <v>-2.8332157238515386E-3</v>
      </c>
      <c r="P344">
        <v>0.25379132491157541</v>
      </c>
      <c r="R344">
        <v>12.349810075336347</v>
      </c>
    </row>
    <row r="345" spans="1:18" x14ac:dyDescent="0.3">
      <c r="A345">
        <v>4.7899999999999201</v>
      </c>
      <c r="B345">
        <v>4.4000000000000002E-6</v>
      </c>
      <c r="D345">
        <v>70.076263281098662</v>
      </c>
      <c r="F345">
        <v>5.8200822436420166E-4</v>
      </c>
      <c r="H345">
        <v>1.7119402135442043E-4</v>
      </c>
      <c r="J345">
        <v>140246.16429656479</v>
      </c>
      <c r="L345">
        <v>4.7899999999999201</v>
      </c>
      <c r="N345">
        <v>-2.8303056827297178E-3</v>
      </c>
      <c r="P345">
        <v>0.25354784445131623</v>
      </c>
      <c r="R345">
        <v>12.349810075336347</v>
      </c>
    </row>
    <row r="346" spans="1:18" x14ac:dyDescent="0.3">
      <c r="A346">
        <v>4.7849999999999202</v>
      </c>
      <c r="B346">
        <v>4.4000000000000002E-6</v>
      </c>
      <c r="D346">
        <v>70.076263281098662</v>
      </c>
      <c r="F346">
        <v>5.8200822436420166E-4</v>
      </c>
      <c r="H346">
        <v>1.7119402135442043E-4</v>
      </c>
      <c r="J346">
        <v>140246.16429656479</v>
      </c>
      <c r="L346">
        <v>4.7849999999999202</v>
      </c>
      <c r="N346">
        <v>-2.8273956416078969E-3</v>
      </c>
      <c r="P346">
        <v>0.25330434365780674</v>
      </c>
      <c r="R346">
        <v>12.349810075336347</v>
      </c>
    </row>
    <row r="347" spans="1:18" x14ac:dyDescent="0.3">
      <c r="A347">
        <v>4.7799999999999203</v>
      </c>
      <c r="B347">
        <v>4.4000000000000002E-6</v>
      </c>
      <c r="D347">
        <v>70.076263281098662</v>
      </c>
      <c r="F347">
        <v>5.8200822436420166E-4</v>
      </c>
      <c r="H347">
        <v>1.7119402135442043E-4</v>
      </c>
      <c r="J347">
        <v>140246.16429656479</v>
      </c>
      <c r="L347">
        <v>4.7799999999999203</v>
      </c>
      <c r="N347">
        <v>-2.8244856004860761E-3</v>
      </c>
      <c r="P347">
        <v>0.2530608225080993</v>
      </c>
      <c r="R347">
        <v>12.349810075336347</v>
      </c>
    </row>
    <row r="348" spans="1:18" x14ac:dyDescent="0.3">
      <c r="A348">
        <v>4.7749999999999204</v>
      </c>
      <c r="B348">
        <v>4.4000000000000002E-6</v>
      </c>
      <c r="D348">
        <v>70.076263281098662</v>
      </c>
      <c r="F348">
        <v>5.8200822436420166E-4</v>
      </c>
      <c r="H348">
        <v>1.7119402135442043E-4</v>
      </c>
      <c r="J348">
        <v>140246.16429656479</v>
      </c>
      <c r="L348">
        <v>4.7749999999999204</v>
      </c>
      <c r="N348">
        <v>-2.8215755593642552E-3</v>
      </c>
      <c r="P348">
        <v>0.25281728097919648</v>
      </c>
      <c r="R348">
        <v>12.349810075336347</v>
      </c>
    </row>
    <row r="349" spans="1:18" x14ac:dyDescent="0.3">
      <c r="A349">
        <v>4.7699999999999205</v>
      </c>
      <c r="B349">
        <v>4.4000000000000002E-6</v>
      </c>
      <c r="D349">
        <v>70.076263281098662</v>
      </c>
      <c r="F349">
        <v>5.8200822436420166E-4</v>
      </c>
      <c r="H349">
        <v>1.7119402135442043E-4</v>
      </c>
      <c r="J349">
        <v>140246.16429656479</v>
      </c>
      <c r="L349">
        <v>4.7699999999999205</v>
      </c>
      <c r="N349">
        <v>-2.8186655182424344E-3</v>
      </c>
      <c r="P349">
        <v>0.25257371904805059</v>
      </c>
      <c r="R349">
        <v>12.349810075336347</v>
      </c>
    </row>
    <row r="350" spans="1:18" x14ac:dyDescent="0.3">
      <c r="A350">
        <v>4.7649999999999206</v>
      </c>
      <c r="B350">
        <v>4.4000000000000002E-6</v>
      </c>
      <c r="D350">
        <v>70.076263281098662</v>
      </c>
      <c r="F350">
        <v>5.8200822436420166E-4</v>
      </c>
      <c r="H350">
        <v>1.7119402135442043E-4</v>
      </c>
      <c r="J350">
        <v>140246.16429656479</v>
      </c>
      <c r="L350">
        <v>4.7649999999999206</v>
      </c>
      <c r="N350">
        <v>-2.8157554771206135E-3</v>
      </c>
      <c r="P350">
        <v>0.25233013669156379</v>
      </c>
      <c r="R350">
        <v>12.349810075336347</v>
      </c>
    </row>
    <row r="351" spans="1:18" x14ac:dyDescent="0.3">
      <c r="A351">
        <v>4.7599999999999207</v>
      </c>
      <c r="B351">
        <v>4.4000000000000002E-6</v>
      </c>
      <c r="D351">
        <v>70.076263281098662</v>
      </c>
      <c r="F351">
        <v>5.8200822436420166E-4</v>
      </c>
      <c r="H351">
        <v>1.7119402135442043E-4</v>
      </c>
      <c r="J351">
        <v>140246.16429656479</v>
      </c>
      <c r="L351">
        <v>4.7599999999999207</v>
      </c>
      <c r="N351">
        <v>-2.8128454359987926E-3</v>
      </c>
      <c r="P351">
        <v>0.25208653388658786</v>
      </c>
      <c r="R351">
        <v>12.349810075336347</v>
      </c>
    </row>
    <row r="352" spans="1:18" x14ac:dyDescent="0.3">
      <c r="A352">
        <v>4.7549999999999208</v>
      </c>
      <c r="B352">
        <v>4.4000000000000002E-6</v>
      </c>
      <c r="D352">
        <v>70.076263281098662</v>
      </c>
      <c r="F352">
        <v>5.8200822436420166E-4</v>
      </c>
      <c r="H352">
        <v>1.7119402135442043E-4</v>
      </c>
      <c r="J352">
        <v>140246.16429656479</v>
      </c>
      <c r="L352">
        <v>4.7549999999999208</v>
      </c>
      <c r="N352">
        <v>-2.8099353948769718E-3</v>
      </c>
      <c r="P352">
        <v>0.25184291060992398</v>
      </c>
      <c r="R352">
        <v>12.349810075336347</v>
      </c>
    </row>
    <row r="353" spans="1:18" x14ac:dyDescent="0.3">
      <c r="A353">
        <v>4.749999999999921</v>
      </c>
      <c r="B353">
        <v>4.4000000000000002E-6</v>
      </c>
      <c r="D353">
        <v>70.076263281098662</v>
      </c>
      <c r="F353">
        <v>5.8200822436420166E-4</v>
      </c>
      <c r="H353">
        <v>1.7119402135442043E-4</v>
      </c>
      <c r="J353">
        <v>140246.16429656479</v>
      </c>
      <c r="L353">
        <v>4.749999999999921</v>
      </c>
      <c r="N353">
        <v>-2.8070253537551509E-3</v>
      </c>
      <c r="P353">
        <v>0.25159926683832246</v>
      </c>
      <c r="R353">
        <v>12.349810075336347</v>
      </c>
    </row>
    <row r="354" spans="1:18" x14ac:dyDescent="0.3">
      <c r="A354">
        <v>4.7449999999999211</v>
      </c>
      <c r="B354">
        <v>4.4000000000000002E-6</v>
      </c>
      <c r="D354">
        <v>70.076263281098662</v>
      </c>
      <c r="F354">
        <v>5.8200822436420166E-4</v>
      </c>
      <c r="H354">
        <v>1.7119402135442043E-4</v>
      </c>
      <c r="J354">
        <v>140246.16429656479</v>
      </c>
      <c r="L354">
        <v>4.7449999999999211</v>
      </c>
      <c r="N354">
        <v>-2.8041153126333301E-3</v>
      </c>
      <c r="P354">
        <v>0.25135560254848283</v>
      </c>
      <c r="R354">
        <v>12.349810075336347</v>
      </c>
    </row>
    <row r="355" spans="1:18" x14ac:dyDescent="0.3">
      <c r="A355">
        <v>4.7399999999999212</v>
      </c>
      <c r="B355">
        <v>4.4000000000000002E-6</v>
      </c>
      <c r="D355">
        <v>70.076263281098662</v>
      </c>
      <c r="F355">
        <v>5.8200822436420166E-4</v>
      </c>
      <c r="H355">
        <v>1.7119402135442043E-4</v>
      </c>
      <c r="J355">
        <v>140246.16429656479</v>
      </c>
      <c r="L355">
        <v>4.7399999999999212</v>
      </c>
      <c r="N355">
        <v>-2.8012052715115092E-3</v>
      </c>
      <c r="P355">
        <v>0.25111191771705355</v>
      </c>
      <c r="R355">
        <v>12.349810075336347</v>
      </c>
    </row>
    <row r="356" spans="1:18" x14ac:dyDescent="0.3">
      <c r="A356">
        <v>4.7349999999999213</v>
      </c>
      <c r="B356">
        <v>4.4000000000000002E-6</v>
      </c>
      <c r="D356">
        <v>70.076263281098662</v>
      </c>
      <c r="F356">
        <v>5.8200822436420166E-4</v>
      </c>
      <c r="H356">
        <v>1.7119402135442043E-4</v>
      </c>
      <c r="J356">
        <v>140246.16429656479</v>
      </c>
      <c r="L356">
        <v>4.7349999999999213</v>
      </c>
      <c r="N356">
        <v>-2.7982952303896884E-3</v>
      </c>
      <c r="P356">
        <v>0.25086821232063183</v>
      </c>
      <c r="R356">
        <v>12.349810075336347</v>
      </c>
    </row>
    <row r="357" spans="1:18" x14ac:dyDescent="0.3">
      <c r="A357">
        <v>4.7299999999999214</v>
      </c>
      <c r="B357">
        <v>4.4000000000000002E-6</v>
      </c>
      <c r="D357">
        <v>70.076263281098662</v>
      </c>
      <c r="F357">
        <v>5.8200822436420166E-4</v>
      </c>
      <c r="H357">
        <v>1.7119402135442043E-4</v>
      </c>
      <c r="J357">
        <v>140246.16429656479</v>
      </c>
      <c r="L357">
        <v>4.7299999999999214</v>
      </c>
      <c r="N357">
        <v>-2.7953851892678675E-3</v>
      </c>
      <c r="P357">
        <v>0.2506244863357634</v>
      </c>
      <c r="R357">
        <v>12.349810075336347</v>
      </c>
    </row>
    <row r="358" spans="1:18" x14ac:dyDescent="0.3">
      <c r="A358">
        <v>4.7249999999999215</v>
      </c>
      <c r="B358">
        <v>4.4000000000000002E-6</v>
      </c>
      <c r="D358">
        <v>70.076263281098662</v>
      </c>
      <c r="F358">
        <v>5.8200822436420166E-4</v>
      </c>
      <c r="H358">
        <v>1.7119402135442043E-4</v>
      </c>
      <c r="J358">
        <v>140246.16429656479</v>
      </c>
      <c r="L358">
        <v>4.7249999999999215</v>
      </c>
      <c r="N358">
        <v>-2.7924751481460466E-3</v>
      </c>
      <c r="P358">
        <v>0.25038073973894248</v>
      </c>
      <c r="R358">
        <v>12.349810075336347</v>
      </c>
    </row>
    <row r="359" spans="1:18" x14ac:dyDescent="0.3">
      <c r="A359">
        <v>4.7199999999999216</v>
      </c>
      <c r="B359">
        <v>4.4000000000000002E-6</v>
      </c>
      <c r="D359">
        <v>70.076263281098662</v>
      </c>
      <c r="F359">
        <v>5.8200822436420166E-4</v>
      </c>
      <c r="H359">
        <v>1.7119402135442043E-4</v>
      </c>
      <c r="J359">
        <v>140246.16429656479</v>
      </c>
      <c r="L359">
        <v>4.7199999999999216</v>
      </c>
      <c r="N359">
        <v>-2.7895651070242258E-3</v>
      </c>
      <c r="P359">
        <v>0.25013697250661165</v>
      </c>
      <c r="R359">
        <v>12.349810075336347</v>
      </c>
    </row>
    <row r="360" spans="1:18" x14ac:dyDescent="0.3">
      <c r="A360">
        <v>4.7149999999999217</v>
      </c>
      <c r="B360">
        <v>4.4000000000000002E-6</v>
      </c>
      <c r="D360">
        <v>70.076263281098662</v>
      </c>
      <c r="F360">
        <v>5.8200822436420166E-4</v>
      </c>
      <c r="H360">
        <v>1.7119402135442043E-4</v>
      </c>
      <c r="J360">
        <v>140246.16429656479</v>
      </c>
      <c r="L360">
        <v>4.7149999999999217</v>
      </c>
      <c r="N360">
        <v>-2.7866550659024049E-3</v>
      </c>
      <c r="P360">
        <v>0.24989318461516133</v>
      </c>
      <c r="R360">
        <v>12.349810075336347</v>
      </c>
    </row>
    <row r="361" spans="1:18" x14ac:dyDescent="0.3">
      <c r="A361">
        <v>4.7099999999999218</v>
      </c>
      <c r="B361">
        <v>4.4000000000000002E-6</v>
      </c>
      <c r="D361">
        <v>70.076263281098662</v>
      </c>
      <c r="F361">
        <v>5.8200822436420166E-4</v>
      </c>
      <c r="H361">
        <v>1.7119402135442043E-4</v>
      </c>
      <c r="J361">
        <v>140246.16429656479</v>
      </c>
      <c r="L361">
        <v>4.7099999999999218</v>
      </c>
      <c r="N361">
        <v>-2.7837450247805841E-3</v>
      </c>
      <c r="P361">
        <v>0.24964937604093004</v>
      </c>
      <c r="R361">
        <v>12.349810075336347</v>
      </c>
    </row>
    <row r="362" spans="1:18" x14ac:dyDescent="0.3">
      <c r="A362">
        <v>4.7049999999999219</v>
      </c>
      <c r="B362">
        <v>4.4000000000000002E-6</v>
      </c>
      <c r="D362">
        <v>70.076263281098662</v>
      </c>
      <c r="F362">
        <v>5.8200822436420166E-4</v>
      </c>
      <c r="H362">
        <v>1.7119402135442043E-4</v>
      </c>
      <c r="J362">
        <v>140246.16429656479</v>
      </c>
      <c r="L362">
        <v>4.7049999999999219</v>
      </c>
      <c r="N362">
        <v>-2.7808349836587632E-3</v>
      </c>
      <c r="P362">
        <v>0.24940554676020413</v>
      </c>
      <c r="R362">
        <v>12.349810075336347</v>
      </c>
    </row>
    <row r="363" spans="1:18" x14ac:dyDescent="0.3">
      <c r="A363">
        <v>4.699999999999922</v>
      </c>
      <c r="B363">
        <v>4.4000000000000002E-6</v>
      </c>
      <c r="D363">
        <v>70.076263281098662</v>
      </c>
      <c r="F363">
        <v>5.8200822436420166E-4</v>
      </c>
      <c r="H363">
        <v>1.7119402135442043E-4</v>
      </c>
      <c r="J363">
        <v>140246.16429656479</v>
      </c>
      <c r="L363">
        <v>4.699999999999922</v>
      </c>
      <c r="N363">
        <v>-2.7779249425369423E-3</v>
      </c>
      <c r="P363">
        <v>0.24916169674921734</v>
      </c>
      <c r="R363">
        <v>12.349810075336347</v>
      </c>
    </row>
    <row r="364" spans="1:18" x14ac:dyDescent="0.3">
      <c r="A364">
        <v>4.6949999999999221</v>
      </c>
      <c r="B364">
        <v>4.4000000000000002E-6</v>
      </c>
      <c r="D364">
        <v>70.076263281098662</v>
      </c>
      <c r="F364">
        <v>5.8200822436420166E-4</v>
      </c>
      <c r="H364">
        <v>1.7119402135442043E-4</v>
      </c>
      <c r="J364">
        <v>140246.16429656479</v>
      </c>
      <c r="L364">
        <v>4.6949999999999221</v>
      </c>
      <c r="N364">
        <v>-2.7750149014151215E-3</v>
      </c>
      <c r="P364">
        <v>0.24891782598415091</v>
      </c>
      <c r="R364">
        <v>12.349810075336347</v>
      </c>
    </row>
    <row r="365" spans="1:18" x14ac:dyDescent="0.3">
      <c r="A365">
        <v>4.6899999999999222</v>
      </c>
      <c r="B365">
        <v>4.4000000000000002E-6</v>
      </c>
      <c r="D365">
        <v>70.076263281098662</v>
      </c>
      <c r="F365">
        <v>5.8200822436420166E-4</v>
      </c>
      <c r="H365">
        <v>1.7119402135442043E-4</v>
      </c>
      <c r="J365">
        <v>140246.16429656479</v>
      </c>
      <c r="L365">
        <v>4.6899999999999222</v>
      </c>
      <c r="N365">
        <v>-2.7721048602933006E-3</v>
      </c>
      <c r="P365">
        <v>0.24867393444113337</v>
      </c>
      <c r="R365">
        <v>12.349810075336347</v>
      </c>
    </row>
    <row r="366" spans="1:18" x14ac:dyDescent="0.3">
      <c r="A366">
        <v>4.6849999999999223</v>
      </c>
      <c r="B366">
        <v>4.4000000000000002E-6</v>
      </c>
      <c r="D366">
        <v>70.076263281098662</v>
      </c>
      <c r="F366">
        <v>5.8200822436420166E-4</v>
      </c>
      <c r="H366">
        <v>1.7119402135442043E-4</v>
      </c>
      <c r="J366">
        <v>140246.16429656479</v>
      </c>
      <c r="L366">
        <v>4.6849999999999223</v>
      </c>
      <c r="N366">
        <v>-2.7691948191714798E-3</v>
      </c>
      <c r="P366">
        <v>0.24843002209624004</v>
      </c>
      <c r="R366">
        <v>12.349810075336347</v>
      </c>
    </row>
    <row r="367" spans="1:18" x14ac:dyDescent="0.3">
      <c r="A367">
        <v>4.6799999999999224</v>
      </c>
      <c r="B367">
        <v>4.4000000000000002E-6</v>
      </c>
      <c r="D367">
        <v>70.076263281098662</v>
      </c>
      <c r="F367">
        <v>5.8200822436420166E-4</v>
      </c>
      <c r="H367">
        <v>1.7119402135442043E-4</v>
      </c>
      <c r="J367">
        <v>140246.16429656479</v>
      </c>
      <c r="L367">
        <v>4.6799999999999224</v>
      </c>
      <c r="N367">
        <v>-2.7662847780496589E-3</v>
      </c>
      <c r="P367">
        <v>0.24818608892549365</v>
      </c>
      <c r="R367">
        <v>12.349810075336347</v>
      </c>
    </row>
    <row r="368" spans="1:18" x14ac:dyDescent="0.3">
      <c r="A368">
        <v>4.6749999999999226</v>
      </c>
      <c r="B368">
        <v>4.4000000000000002E-6</v>
      </c>
      <c r="D368">
        <v>70.076263281098662</v>
      </c>
      <c r="F368">
        <v>5.8200822436420166E-4</v>
      </c>
      <c r="H368">
        <v>1.7119402135442043E-4</v>
      </c>
      <c r="J368">
        <v>140246.16429656479</v>
      </c>
      <c r="L368">
        <v>4.6749999999999226</v>
      </c>
      <c r="N368">
        <v>-2.7633747369278381E-3</v>
      </c>
      <c r="P368">
        <v>0.24794213490486308</v>
      </c>
      <c r="R368">
        <v>12.349810075336347</v>
      </c>
    </row>
    <row r="369" spans="1:18" x14ac:dyDescent="0.3">
      <c r="A369">
        <v>4.6699999999999227</v>
      </c>
      <c r="B369">
        <v>4.4000000000000002E-6</v>
      </c>
      <c r="D369">
        <v>70.076263281098662</v>
      </c>
      <c r="F369">
        <v>5.8200822436420166E-4</v>
      </c>
      <c r="H369">
        <v>1.7119402135442043E-4</v>
      </c>
      <c r="J369">
        <v>140246.16429656479</v>
      </c>
      <c r="L369">
        <v>4.6699999999999227</v>
      </c>
      <c r="N369">
        <v>-2.7604646958060172E-3</v>
      </c>
      <c r="P369">
        <v>0.24769816001026415</v>
      </c>
      <c r="R369">
        <v>12.349810075336347</v>
      </c>
    </row>
    <row r="370" spans="1:18" x14ac:dyDescent="0.3">
      <c r="A370">
        <v>4.6649999999999228</v>
      </c>
      <c r="B370">
        <v>4.4000000000000002E-6</v>
      </c>
      <c r="D370">
        <v>70.076263281098662</v>
      </c>
      <c r="F370">
        <v>5.8200822436420166E-4</v>
      </c>
      <c r="H370">
        <v>1.7119402135442043E-4</v>
      </c>
      <c r="J370">
        <v>140246.16429656479</v>
      </c>
      <c r="L370">
        <v>4.6649999999999228</v>
      </c>
      <c r="N370">
        <v>-2.7575546546841963E-3</v>
      </c>
      <c r="P370">
        <v>0.24745416421755881</v>
      </c>
      <c r="R370">
        <v>12.349810075336347</v>
      </c>
    </row>
    <row r="371" spans="1:18" x14ac:dyDescent="0.3">
      <c r="A371">
        <v>4.6599999999999229</v>
      </c>
      <c r="B371">
        <v>4.4000000000000002E-6</v>
      </c>
      <c r="D371">
        <v>70.076263281098662</v>
      </c>
      <c r="F371">
        <v>5.8200822436420166E-4</v>
      </c>
      <c r="H371">
        <v>1.7119402135442043E-4</v>
      </c>
      <c r="J371">
        <v>140246.16429656479</v>
      </c>
      <c r="L371">
        <v>4.6599999999999229</v>
      </c>
      <c r="N371">
        <v>-2.7546446135623755E-3</v>
      </c>
      <c r="P371">
        <v>0.24721014750255529</v>
      </c>
      <c r="R371">
        <v>12.349810075336347</v>
      </c>
    </row>
    <row r="372" spans="1:18" x14ac:dyDescent="0.3">
      <c r="A372">
        <v>4.654999999999923</v>
      </c>
      <c r="B372">
        <v>4.4000000000000002E-6</v>
      </c>
      <c r="D372">
        <v>70.076263281098662</v>
      </c>
      <c r="F372">
        <v>5.8200822436420166E-4</v>
      </c>
      <c r="H372">
        <v>1.7119402135442043E-4</v>
      </c>
      <c r="J372">
        <v>140246.16429656479</v>
      </c>
      <c r="L372">
        <v>4.654999999999923</v>
      </c>
      <c r="N372">
        <v>-2.7517345724405546E-3</v>
      </c>
      <c r="P372">
        <v>0.24696610984100786</v>
      </c>
      <c r="R372">
        <v>12.349810075336347</v>
      </c>
    </row>
    <row r="373" spans="1:18" x14ac:dyDescent="0.3">
      <c r="A373">
        <v>4.6499999999999231</v>
      </c>
      <c r="B373">
        <v>4.4000000000000002E-6</v>
      </c>
      <c r="D373">
        <v>70.076263281098662</v>
      </c>
      <c r="F373">
        <v>5.8200822436420166E-4</v>
      </c>
      <c r="H373">
        <v>1.7119402135442043E-4</v>
      </c>
      <c r="J373">
        <v>140246.16429656479</v>
      </c>
      <c r="L373">
        <v>4.6499999999999231</v>
      </c>
      <c r="N373">
        <v>-2.7488245313187338E-3</v>
      </c>
      <c r="P373">
        <v>0.24672205120861657</v>
      </c>
      <c r="R373">
        <v>12.349810075336347</v>
      </c>
    </row>
    <row r="374" spans="1:18" x14ac:dyDescent="0.3">
      <c r="A374">
        <v>4.6449999999999232</v>
      </c>
      <c r="B374">
        <v>4.4000000000000002E-6</v>
      </c>
      <c r="D374">
        <v>70.076263281098662</v>
      </c>
      <c r="F374">
        <v>5.8200822436420166E-4</v>
      </c>
      <c r="H374">
        <v>1.7119402135442043E-4</v>
      </c>
      <c r="J374">
        <v>140246.16429656479</v>
      </c>
      <c r="L374">
        <v>4.6449999999999232</v>
      </c>
      <c r="N374">
        <v>-2.7459144901969129E-3</v>
      </c>
      <c r="P374">
        <v>0.24647797158102708</v>
      </c>
      <c r="R374">
        <v>12.349810075336347</v>
      </c>
    </row>
    <row r="375" spans="1:18" x14ac:dyDescent="0.3">
      <c r="A375">
        <v>4.6399999999999233</v>
      </c>
      <c r="B375">
        <v>4.4000000000000002E-6</v>
      </c>
      <c r="D375">
        <v>70.076263281098662</v>
      </c>
      <c r="F375">
        <v>5.8200822436420166E-4</v>
      </c>
      <c r="H375">
        <v>1.7119402135442043E-4</v>
      </c>
      <c r="J375">
        <v>140246.16429656479</v>
      </c>
      <c r="L375">
        <v>4.6399999999999233</v>
      </c>
      <c r="N375">
        <v>-2.7430044490750921E-3</v>
      </c>
      <c r="P375">
        <v>0.24623387093383065</v>
      </c>
      <c r="R375">
        <v>12.349810075336347</v>
      </c>
    </row>
    <row r="376" spans="1:18" x14ac:dyDescent="0.3">
      <c r="A376">
        <v>4.6349999999999234</v>
      </c>
      <c r="B376">
        <v>4.4000000000000002E-6</v>
      </c>
      <c r="D376">
        <v>70.076263281098662</v>
      </c>
      <c r="F376">
        <v>5.8200822436420166E-4</v>
      </c>
      <c r="H376">
        <v>1.7119402135442043E-4</v>
      </c>
      <c r="J376">
        <v>140246.16429656479</v>
      </c>
      <c r="L376">
        <v>4.6349999999999234</v>
      </c>
      <c r="N376">
        <v>-2.7400944079532712E-3</v>
      </c>
      <c r="P376">
        <v>0.24598974924256364</v>
      </c>
      <c r="R376">
        <v>12.349810075336347</v>
      </c>
    </row>
    <row r="377" spans="1:18" x14ac:dyDescent="0.3">
      <c r="A377">
        <v>4.6299999999999235</v>
      </c>
      <c r="B377">
        <v>4.4000000000000002E-6</v>
      </c>
      <c r="D377">
        <v>70.076263281098662</v>
      </c>
      <c r="F377">
        <v>5.8200822436420166E-4</v>
      </c>
      <c r="H377">
        <v>1.7119402135442043E-4</v>
      </c>
      <c r="J377">
        <v>140246.16429656479</v>
      </c>
      <c r="L377">
        <v>4.6299999999999235</v>
      </c>
      <c r="N377">
        <v>-2.7371843668314503E-3</v>
      </c>
      <c r="P377">
        <v>0.2457456064827076</v>
      </c>
      <c r="R377">
        <v>12.349810075336347</v>
      </c>
    </row>
    <row r="378" spans="1:18" x14ac:dyDescent="0.3">
      <c r="A378">
        <v>4.6249999999999236</v>
      </c>
      <c r="B378">
        <v>4.4000000000000002E-6</v>
      </c>
      <c r="D378">
        <v>70.076263281098662</v>
      </c>
      <c r="F378">
        <v>5.8200822436420166E-4</v>
      </c>
      <c r="H378">
        <v>1.7119402135442043E-4</v>
      </c>
      <c r="J378">
        <v>140246.16429656479</v>
      </c>
      <c r="L378">
        <v>4.6249999999999236</v>
      </c>
      <c r="N378">
        <v>-2.7342743257096295E-3</v>
      </c>
      <c r="P378">
        <v>0.2455014426296892</v>
      </c>
      <c r="R378">
        <v>12.349810075336347</v>
      </c>
    </row>
    <row r="379" spans="1:18" x14ac:dyDescent="0.3">
      <c r="A379">
        <v>4.6199999999999237</v>
      </c>
      <c r="B379">
        <v>4.4000000000000002E-6</v>
      </c>
      <c r="D379">
        <v>70.076263281098662</v>
      </c>
      <c r="F379">
        <v>5.8200822436420166E-4</v>
      </c>
      <c r="H379">
        <v>1.7119402135442043E-4</v>
      </c>
      <c r="J379">
        <v>140246.16429656479</v>
      </c>
      <c r="L379">
        <v>4.6199999999999237</v>
      </c>
      <c r="N379">
        <v>-2.7313642845878086E-3</v>
      </c>
      <c r="P379">
        <v>0.24525725765887954</v>
      </c>
      <c r="R379">
        <v>12.349810075336347</v>
      </c>
    </row>
    <row r="380" spans="1:18" x14ac:dyDescent="0.3">
      <c r="A380">
        <v>4.6149999999999238</v>
      </c>
      <c r="B380">
        <v>4.4000000000000002E-6</v>
      </c>
      <c r="D380">
        <v>70.076263281098662</v>
      </c>
      <c r="F380">
        <v>5.8200822436420166E-4</v>
      </c>
      <c r="H380">
        <v>1.7119402135442043E-4</v>
      </c>
      <c r="J380">
        <v>140246.16429656479</v>
      </c>
      <c r="L380">
        <v>4.6149999999999238</v>
      </c>
      <c r="N380">
        <v>-2.7284542434659878E-3</v>
      </c>
      <c r="P380">
        <v>0.24501305154559433</v>
      </c>
      <c r="R380">
        <v>12.349810075336347</v>
      </c>
    </row>
    <row r="381" spans="1:18" x14ac:dyDescent="0.3">
      <c r="A381">
        <v>4.6099999999999239</v>
      </c>
      <c r="B381">
        <v>4.4000000000000002E-6</v>
      </c>
      <c r="D381">
        <v>70.076263281098662</v>
      </c>
      <c r="F381">
        <v>5.8200822436420166E-4</v>
      </c>
      <c r="H381">
        <v>1.7119402135442043E-4</v>
      </c>
      <c r="J381">
        <v>140246.16429656479</v>
      </c>
      <c r="L381">
        <v>4.6099999999999239</v>
      </c>
      <c r="N381">
        <v>-2.7255442023441669E-3</v>
      </c>
      <c r="P381">
        <v>0.24476882426509389</v>
      </c>
      <c r="R381">
        <v>12.349810075336347</v>
      </c>
    </row>
    <row r="382" spans="1:18" x14ac:dyDescent="0.3">
      <c r="A382">
        <v>4.604999999999924</v>
      </c>
      <c r="B382">
        <v>4.4000000000000002E-6</v>
      </c>
      <c r="D382">
        <v>70.076263281098662</v>
      </c>
      <c r="F382">
        <v>5.8200822436420166E-4</v>
      </c>
      <c r="H382">
        <v>1.7119402135442043E-4</v>
      </c>
      <c r="J382">
        <v>140246.16429656479</v>
      </c>
      <c r="L382">
        <v>4.604999999999924</v>
      </c>
      <c r="N382">
        <v>-2.7226341612223461E-3</v>
      </c>
      <c r="P382">
        <v>0.24452457579258258</v>
      </c>
      <c r="R382">
        <v>12.349810075336347</v>
      </c>
    </row>
    <row r="383" spans="1:18" x14ac:dyDescent="0.3">
      <c r="A383">
        <v>4.5999999999999241</v>
      </c>
      <c r="B383">
        <v>4.4000000000000002E-6</v>
      </c>
      <c r="D383">
        <v>70.076263281098662</v>
      </c>
      <c r="F383">
        <v>5.8200822436420166E-4</v>
      </c>
      <c r="H383">
        <v>1.7119402135442043E-4</v>
      </c>
      <c r="J383">
        <v>140246.16429656479</v>
      </c>
      <c r="L383">
        <v>4.5999999999999241</v>
      </c>
      <c r="N383">
        <v>-2.7197241201005252E-3</v>
      </c>
      <c r="P383">
        <v>0.24428030610320853</v>
      </c>
      <c r="R383">
        <v>12.349810075336347</v>
      </c>
    </row>
    <row r="384" spans="1:18" x14ac:dyDescent="0.3">
      <c r="A384">
        <v>4.5949999999999243</v>
      </c>
      <c r="B384">
        <v>4.4000000000000002E-6</v>
      </c>
      <c r="D384">
        <v>70.076263281098662</v>
      </c>
      <c r="F384">
        <v>5.8200822436420166E-4</v>
      </c>
      <c r="H384">
        <v>1.7119402135442043E-4</v>
      </c>
      <c r="J384">
        <v>140246.16429656479</v>
      </c>
      <c r="L384">
        <v>4.5949999999999243</v>
      </c>
      <c r="N384">
        <v>-2.7168140789787043E-3</v>
      </c>
      <c r="P384">
        <v>0.24403601517206414</v>
      </c>
      <c r="R384">
        <v>12.349810075336347</v>
      </c>
    </row>
    <row r="385" spans="1:18" x14ac:dyDescent="0.3">
      <c r="A385">
        <v>4.5899999999999244</v>
      </c>
      <c r="B385">
        <v>4.4000000000000002E-6</v>
      </c>
      <c r="D385">
        <v>70.076263281098662</v>
      </c>
      <c r="F385">
        <v>5.8200822436420166E-4</v>
      </c>
      <c r="H385">
        <v>1.7119402135442043E-4</v>
      </c>
      <c r="J385">
        <v>140246.16429656479</v>
      </c>
      <c r="L385">
        <v>4.5899999999999244</v>
      </c>
      <c r="N385">
        <v>-2.7139040378568835E-3</v>
      </c>
      <c r="P385">
        <v>0.24379170297418506</v>
      </c>
      <c r="R385">
        <v>12.349810075336347</v>
      </c>
    </row>
    <row r="386" spans="1:18" x14ac:dyDescent="0.3">
      <c r="A386">
        <v>4.5849999999999245</v>
      </c>
      <c r="B386">
        <v>4.4000000000000002E-6</v>
      </c>
      <c r="D386">
        <v>70.076263281098662</v>
      </c>
      <c r="F386">
        <v>5.8200822436420166E-4</v>
      </c>
      <c r="H386">
        <v>1.7119402135442043E-4</v>
      </c>
      <c r="J386">
        <v>140246.16429656479</v>
      </c>
      <c r="L386">
        <v>4.5849999999999245</v>
      </c>
      <c r="N386">
        <v>-2.7109939967350626E-3</v>
      </c>
      <c r="P386">
        <v>0.2435473694845505</v>
      </c>
      <c r="R386">
        <v>12.349810075336347</v>
      </c>
    </row>
    <row r="387" spans="1:18" x14ac:dyDescent="0.3">
      <c r="A387">
        <v>4.5799999999999246</v>
      </c>
      <c r="B387">
        <v>4.4000000000000002E-6</v>
      </c>
      <c r="D387">
        <v>70.076263281098662</v>
      </c>
      <c r="F387">
        <v>5.8200822436420166E-4</v>
      </c>
      <c r="H387">
        <v>1.7119402135442043E-4</v>
      </c>
      <c r="J387">
        <v>140246.16429656479</v>
      </c>
      <c r="L387">
        <v>4.5799999999999246</v>
      </c>
      <c r="N387">
        <v>-2.7080839556132418E-3</v>
      </c>
      <c r="P387">
        <v>0.24330301467808294</v>
      </c>
      <c r="R387">
        <v>12.349810075336347</v>
      </c>
    </row>
    <row r="388" spans="1:18" x14ac:dyDescent="0.3">
      <c r="A388">
        <v>4.5749999999999247</v>
      </c>
      <c r="B388">
        <v>4.4000000000000002E-6</v>
      </c>
      <c r="D388">
        <v>70.076263281098662</v>
      </c>
      <c r="F388">
        <v>5.8200822436420166E-4</v>
      </c>
      <c r="H388">
        <v>1.7119402135442043E-4</v>
      </c>
      <c r="J388">
        <v>140246.16429656479</v>
      </c>
      <c r="L388">
        <v>4.5749999999999247</v>
      </c>
      <c r="N388">
        <v>-2.7051739144914209E-3</v>
      </c>
      <c r="P388">
        <v>0.24305863852964793</v>
      </c>
      <c r="R388">
        <v>12.349810075336347</v>
      </c>
    </row>
    <row r="389" spans="1:18" x14ac:dyDescent="0.3">
      <c r="A389">
        <v>4.5699999999999248</v>
      </c>
      <c r="B389">
        <v>4.4000000000000002E-6</v>
      </c>
      <c r="D389">
        <v>70.076263281098662</v>
      </c>
      <c r="F389">
        <v>5.8200822436420166E-4</v>
      </c>
      <c r="H389">
        <v>1.7119402135442043E-4</v>
      </c>
      <c r="J389">
        <v>140246.16429656479</v>
      </c>
      <c r="L389">
        <v>4.5699999999999248</v>
      </c>
      <c r="N389">
        <v>-2.7022638733696001E-3</v>
      </c>
      <c r="P389">
        <v>0.24281424101405372</v>
      </c>
      <c r="R389">
        <v>12.349810075336347</v>
      </c>
    </row>
    <row r="390" spans="1:18" x14ac:dyDescent="0.3">
      <c r="A390">
        <v>4.5649999999999249</v>
      </c>
      <c r="B390">
        <v>4.4000000000000002E-6</v>
      </c>
      <c r="D390">
        <v>70.076263281098662</v>
      </c>
      <c r="F390">
        <v>5.8200822436420166E-4</v>
      </c>
      <c r="H390">
        <v>1.7119402135442043E-4</v>
      </c>
      <c r="J390">
        <v>140246.16429656479</v>
      </c>
      <c r="L390">
        <v>4.5649999999999249</v>
      </c>
      <c r="N390">
        <v>-2.6993538322477792E-3</v>
      </c>
      <c r="P390">
        <v>0.24256982210605146</v>
      </c>
      <c r="R390">
        <v>12.349810075336347</v>
      </c>
    </row>
    <row r="391" spans="1:18" x14ac:dyDescent="0.3">
      <c r="A391">
        <v>4.559999999999925</v>
      </c>
      <c r="B391">
        <v>4.4000000000000002E-6</v>
      </c>
      <c r="D391">
        <v>70.076263281098662</v>
      </c>
      <c r="F391">
        <v>5.8200822436420166E-4</v>
      </c>
      <c r="H391">
        <v>1.7119402135442043E-4</v>
      </c>
      <c r="J391">
        <v>140246.16429656479</v>
      </c>
      <c r="L391">
        <v>4.559999999999925</v>
      </c>
      <c r="N391">
        <v>-2.6964437911259583E-3</v>
      </c>
      <c r="P391">
        <v>0.24232538178033466</v>
      </c>
      <c r="R391">
        <v>12.349810075336347</v>
      </c>
    </row>
    <row r="392" spans="1:18" x14ac:dyDescent="0.3">
      <c r="A392">
        <v>4.5549999999999251</v>
      </c>
      <c r="B392">
        <v>4.4000000000000002E-6</v>
      </c>
      <c r="D392">
        <v>70.076263281098662</v>
      </c>
      <c r="F392">
        <v>5.8200822436420166E-4</v>
      </c>
      <c r="H392">
        <v>1.7119402135442043E-4</v>
      </c>
      <c r="J392">
        <v>140246.16429656479</v>
      </c>
      <c r="L392">
        <v>4.5549999999999251</v>
      </c>
      <c r="N392">
        <v>-2.6935337500041375E-3</v>
      </c>
      <c r="P392">
        <v>0.24208092001153908</v>
      </c>
      <c r="R392">
        <v>12.349810075336347</v>
      </c>
    </row>
    <row r="393" spans="1:18" x14ac:dyDescent="0.3">
      <c r="A393">
        <v>4.5499999999999252</v>
      </c>
      <c r="B393">
        <v>4.4000000000000002E-6</v>
      </c>
      <c r="D393">
        <v>70.076263281098662</v>
      </c>
      <c r="F393">
        <v>5.8200822436420166E-4</v>
      </c>
      <c r="H393">
        <v>1.7119402135442043E-4</v>
      </c>
      <c r="J393">
        <v>140246.16429656479</v>
      </c>
      <c r="L393">
        <v>4.5499999999999252</v>
      </c>
      <c r="N393">
        <v>-2.6906237088823166E-3</v>
      </c>
      <c r="P393">
        <v>0.24183643677424257</v>
      </c>
      <c r="R393">
        <v>12.349810075336347</v>
      </c>
    </row>
    <row r="394" spans="1:18" x14ac:dyDescent="0.3">
      <c r="A394">
        <v>4.5449999999999253</v>
      </c>
      <c r="B394">
        <v>4.4000000000000002E-6</v>
      </c>
      <c r="D394">
        <v>70.076263281098662</v>
      </c>
      <c r="F394">
        <v>5.8200822436420166E-4</v>
      </c>
      <c r="H394">
        <v>1.7119402135442043E-4</v>
      </c>
      <c r="J394">
        <v>140246.16429656479</v>
      </c>
      <c r="L394">
        <v>4.5449999999999253</v>
      </c>
      <c r="N394">
        <v>-2.6877136677604958E-3</v>
      </c>
      <c r="P394">
        <v>0.241591932042965</v>
      </c>
      <c r="R394">
        <v>12.349810075336347</v>
      </c>
    </row>
    <row r="395" spans="1:18" x14ac:dyDescent="0.3">
      <c r="A395">
        <v>4.5399999999999254</v>
      </c>
      <c r="B395">
        <v>4.4000000000000002E-6</v>
      </c>
      <c r="D395">
        <v>70.076263281098662</v>
      </c>
      <c r="F395">
        <v>5.8200822436420166E-4</v>
      </c>
      <c r="H395">
        <v>1.7119402135442043E-4</v>
      </c>
      <c r="J395">
        <v>140246.16429656479</v>
      </c>
      <c r="L395">
        <v>4.5399999999999254</v>
      </c>
      <c r="N395">
        <v>-2.6848036266386749E-3</v>
      </c>
      <c r="P395">
        <v>0.24134740579216765</v>
      </c>
      <c r="R395">
        <v>12.349810075336347</v>
      </c>
    </row>
    <row r="396" spans="1:18" x14ac:dyDescent="0.3">
      <c r="A396">
        <v>4.5349999999999255</v>
      </c>
      <c r="B396">
        <v>4.4000000000000002E-6</v>
      </c>
      <c r="D396">
        <v>70.076263281098662</v>
      </c>
      <c r="F396">
        <v>5.8200822436420166E-4</v>
      </c>
      <c r="H396">
        <v>1.7119402135442043E-4</v>
      </c>
      <c r="J396">
        <v>140246.16429656479</v>
      </c>
      <c r="L396">
        <v>4.5349999999999255</v>
      </c>
      <c r="N396">
        <v>-2.681893585516854E-3</v>
      </c>
      <c r="P396">
        <v>0.24110285799625364</v>
      </c>
      <c r="R396">
        <v>12.349810075336347</v>
      </c>
    </row>
    <row r="397" spans="1:18" x14ac:dyDescent="0.3">
      <c r="A397">
        <v>4.5299999999999256</v>
      </c>
      <c r="B397">
        <v>4.4000000000000002E-6</v>
      </c>
      <c r="D397">
        <v>70.076263281098662</v>
      </c>
      <c r="F397">
        <v>5.8200822436420166E-4</v>
      </c>
      <c r="H397">
        <v>1.7119402135442043E-4</v>
      </c>
      <c r="J397">
        <v>140246.16429656479</v>
      </c>
      <c r="L397">
        <v>4.5299999999999256</v>
      </c>
      <c r="N397">
        <v>-2.6789835443950332E-3</v>
      </c>
      <c r="P397">
        <v>0.24085828862956726</v>
      </c>
      <c r="R397">
        <v>12.349810075336347</v>
      </c>
    </row>
    <row r="398" spans="1:18" x14ac:dyDescent="0.3">
      <c r="A398">
        <v>4.5249999999999257</v>
      </c>
      <c r="B398">
        <v>4.4000000000000002E-6</v>
      </c>
      <c r="D398">
        <v>70.076263281098662</v>
      </c>
      <c r="F398">
        <v>5.8200822436420166E-4</v>
      </c>
      <c r="H398">
        <v>1.7119402135442043E-4</v>
      </c>
      <c r="J398">
        <v>140246.16429656479</v>
      </c>
      <c r="L398">
        <v>4.5249999999999257</v>
      </c>
      <c r="N398">
        <v>-2.6760735032732123E-3</v>
      </c>
      <c r="P398">
        <v>0.24061369766639365</v>
      </c>
      <c r="R398">
        <v>12.349810075336347</v>
      </c>
    </row>
    <row r="399" spans="1:18" x14ac:dyDescent="0.3">
      <c r="A399">
        <v>4.5199999999999259</v>
      </c>
      <c r="B399">
        <v>4.4000000000000002E-6</v>
      </c>
      <c r="D399">
        <v>70.076263281098662</v>
      </c>
      <c r="F399">
        <v>5.8200822436420166E-4</v>
      </c>
      <c r="H399">
        <v>1.7119402135442043E-4</v>
      </c>
      <c r="J399">
        <v>140246.16429656479</v>
      </c>
      <c r="L399">
        <v>4.5199999999999259</v>
      </c>
      <c r="N399">
        <v>-2.6731634621513915E-3</v>
      </c>
      <c r="P399">
        <v>0.24036908508095933</v>
      </c>
      <c r="R399">
        <v>12.349810075336347</v>
      </c>
    </row>
    <row r="400" spans="1:18" x14ac:dyDescent="0.3">
      <c r="A400">
        <v>4.514999999999926</v>
      </c>
      <c r="B400">
        <v>4.4000000000000002E-6</v>
      </c>
      <c r="D400">
        <v>70.076263281098662</v>
      </c>
      <c r="F400">
        <v>5.8200822436420166E-4</v>
      </c>
      <c r="H400">
        <v>1.7119402135442043E-4</v>
      </c>
      <c r="J400">
        <v>140246.16429656479</v>
      </c>
      <c r="L400">
        <v>4.514999999999926</v>
      </c>
      <c r="N400">
        <v>-2.6702534210295706E-3</v>
      </c>
      <c r="P400">
        <v>0.24012445084743103</v>
      </c>
      <c r="R400">
        <v>12.349810075336347</v>
      </c>
    </row>
    <row r="401" spans="1:18" x14ac:dyDescent="0.3">
      <c r="A401">
        <v>4.5099999999999261</v>
      </c>
      <c r="B401">
        <v>4.4000000000000002E-6</v>
      </c>
      <c r="D401">
        <v>70.076263281098662</v>
      </c>
      <c r="F401">
        <v>5.8200822436420166E-4</v>
      </c>
      <c r="H401">
        <v>1.7119402135442043E-4</v>
      </c>
      <c r="J401">
        <v>140246.16429656479</v>
      </c>
      <c r="L401">
        <v>4.5099999999999261</v>
      </c>
      <c r="N401">
        <v>-2.6673433799077498E-3</v>
      </c>
      <c r="P401">
        <v>0.23987979493991624</v>
      </c>
      <c r="R401">
        <v>12.349810075336347</v>
      </c>
    </row>
    <row r="402" spans="1:18" x14ac:dyDescent="0.3">
      <c r="A402">
        <v>4.5049999999999262</v>
      </c>
      <c r="B402">
        <v>4.4000000000000002E-6</v>
      </c>
      <c r="D402">
        <v>70.076263281098662</v>
      </c>
      <c r="F402">
        <v>5.8200822436420166E-4</v>
      </c>
      <c r="H402">
        <v>1.7119402135442043E-4</v>
      </c>
      <c r="J402">
        <v>140246.16429656479</v>
      </c>
      <c r="L402">
        <v>4.5049999999999262</v>
      </c>
      <c r="N402">
        <v>-2.6644333387859289E-3</v>
      </c>
      <c r="P402">
        <v>0.23963511733246273</v>
      </c>
      <c r="R402">
        <v>12.349810075336347</v>
      </c>
    </row>
    <row r="403" spans="1:18" x14ac:dyDescent="0.3">
      <c r="A403">
        <v>4.4999999999999263</v>
      </c>
      <c r="B403">
        <v>4.4000000000000002E-6</v>
      </c>
      <c r="D403">
        <v>70.076263281098662</v>
      </c>
      <c r="F403">
        <v>5.8200822436420166E-4</v>
      </c>
      <c r="H403">
        <v>1.7119402135442043E-4</v>
      </c>
      <c r="J403">
        <v>140246.16429656479</v>
      </c>
      <c r="L403">
        <v>4.4999999999999263</v>
      </c>
      <c r="N403">
        <v>-2.661523297664108E-3</v>
      </c>
      <c r="P403">
        <v>0.23939041799905822</v>
      </c>
      <c r="R403">
        <v>12.349810075336347</v>
      </c>
    </row>
    <row r="404" spans="1:18" x14ac:dyDescent="0.3">
      <c r="A404">
        <v>4.4949999999999264</v>
      </c>
      <c r="B404">
        <v>4.4000000000000002E-6</v>
      </c>
      <c r="D404">
        <v>70.076263281098662</v>
      </c>
      <c r="F404">
        <v>5.8200822436420166E-4</v>
      </c>
      <c r="H404">
        <v>1.7119402135442043E-4</v>
      </c>
      <c r="J404">
        <v>140246.16429656479</v>
      </c>
      <c r="L404">
        <v>4.4949999999999264</v>
      </c>
      <c r="N404">
        <v>-2.6586132565422872E-3</v>
      </c>
      <c r="P404">
        <v>0.23914569691363047</v>
      </c>
      <c r="R404">
        <v>12.349810075336347</v>
      </c>
    </row>
    <row r="405" spans="1:18" x14ac:dyDescent="0.3">
      <c r="A405">
        <v>4.4899999999999265</v>
      </c>
      <c r="B405">
        <v>4.4000000000000002E-6</v>
      </c>
      <c r="D405">
        <v>70.076263281098662</v>
      </c>
      <c r="F405">
        <v>5.8200822436420166E-4</v>
      </c>
      <c r="H405">
        <v>1.7119402135442043E-4</v>
      </c>
      <c r="J405">
        <v>140246.16429656479</v>
      </c>
      <c r="L405">
        <v>4.4899999999999265</v>
      </c>
      <c r="N405">
        <v>-2.6557032154204663E-3</v>
      </c>
      <c r="P405">
        <v>0.23890095405004685</v>
      </c>
      <c r="R405">
        <v>12.349810075336347</v>
      </c>
    </row>
    <row r="406" spans="1:18" x14ac:dyDescent="0.3">
      <c r="A406">
        <v>4.4849999999999266</v>
      </c>
      <c r="B406">
        <v>4.4000000000000002E-6</v>
      </c>
      <c r="D406">
        <v>70.076263281098662</v>
      </c>
      <c r="F406">
        <v>5.8200822436420166E-4</v>
      </c>
      <c r="H406">
        <v>1.7119402135442043E-4</v>
      </c>
      <c r="J406">
        <v>140246.16429656479</v>
      </c>
      <c r="L406">
        <v>4.4849999999999266</v>
      </c>
      <c r="N406">
        <v>-2.6527931742986455E-3</v>
      </c>
      <c r="P406">
        <v>0.23865618938211414</v>
      </c>
      <c r="R406">
        <v>12.349810075336347</v>
      </c>
    </row>
    <row r="407" spans="1:18" x14ac:dyDescent="0.3">
      <c r="A407">
        <v>4.4799999999999267</v>
      </c>
      <c r="B407">
        <v>4.4000000000000002E-6</v>
      </c>
      <c r="D407">
        <v>70.076263281098662</v>
      </c>
      <c r="F407">
        <v>5.8200822436420166E-4</v>
      </c>
      <c r="H407">
        <v>1.7119402135442043E-4</v>
      </c>
      <c r="J407">
        <v>140246.16429656479</v>
      </c>
      <c r="L407">
        <v>4.4799999999999267</v>
      </c>
      <c r="N407">
        <v>-2.6498831331768246E-3</v>
      </c>
      <c r="P407">
        <v>0.23841140288357851</v>
      </c>
      <c r="R407">
        <v>12.349810075336347</v>
      </c>
    </row>
    <row r="408" spans="1:18" x14ac:dyDescent="0.3">
      <c r="A408">
        <v>4.4749999999999268</v>
      </c>
      <c r="B408">
        <v>4.4000000000000002E-6</v>
      </c>
      <c r="D408">
        <v>70.076263281098662</v>
      </c>
      <c r="F408">
        <v>5.8200822436420166E-4</v>
      </c>
      <c r="H408">
        <v>1.7119402135442043E-4</v>
      </c>
      <c r="J408">
        <v>140246.16429656479</v>
      </c>
      <c r="L408">
        <v>4.4749999999999268</v>
      </c>
      <c r="N408">
        <v>-2.6469730920550038E-3</v>
      </c>
      <c r="P408">
        <v>0.23816659452812497</v>
      </c>
      <c r="R408">
        <v>12.349810075336347</v>
      </c>
    </row>
    <row r="409" spans="1:18" x14ac:dyDescent="0.3">
      <c r="A409">
        <v>4.4699999999999269</v>
      </c>
      <c r="B409">
        <v>4.4000000000000002E-6</v>
      </c>
      <c r="D409">
        <v>70.076263281098662</v>
      </c>
      <c r="F409">
        <v>5.8200822436420166E-4</v>
      </c>
      <c r="H409">
        <v>1.7119402135442043E-4</v>
      </c>
      <c r="J409">
        <v>140246.16429656479</v>
      </c>
      <c r="L409">
        <v>4.4699999999999269</v>
      </c>
      <c r="N409">
        <v>-2.6440630509331829E-3</v>
      </c>
      <c r="P409">
        <v>0.2379217642893777</v>
      </c>
      <c r="R409">
        <v>12.349810075336347</v>
      </c>
    </row>
    <row r="410" spans="1:18" x14ac:dyDescent="0.3">
      <c r="A410">
        <v>4.464999999999927</v>
      </c>
      <c r="B410">
        <v>4.4000000000000002E-6</v>
      </c>
      <c r="D410">
        <v>70.076263281098662</v>
      </c>
      <c r="F410">
        <v>5.8200822436420166E-4</v>
      </c>
      <c r="H410">
        <v>1.7119402135442043E-4</v>
      </c>
      <c r="J410">
        <v>140246.16429656479</v>
      </c>
      <c r="L410">
        <v>4.464999999999927</v>
      </c>
      <c r="N410">
        <v>-2.641153009811362E-3</v>
      </c>
      <c r="P410">
        <v>0.23767691214089912</v>
      </c>
      <c r="R410">
        <v>12.349810075336347</v>
      </c>
    </row>
    <row r="411" spans="1:18" x14ac:dyDescent="0.3">
      <c r="A411">
        <v>4.4599999999999271</v>
      </c>
      <c r="B411">
        <v>4.4000000000000002E-6</v>
      </c>
      <c r="D411">
        <v>70.076263281098662</v>
      </c>
      <c r="F411">
        <v>5.8200822436420166E-4</v>
      </c>
      <c r="H411">
        <v>1.7119402135442043E-4</v>
      </c>
      <c r="J411">
        <v>140246.16429656479</v>
      </c>
      <c r="L411">
        <v>4.4599999999999271</v>
      </c>
      <c r="N411">
        <v>-2.6382429686895412E-3</v>
      </c>
      <c r="P411">
        <v>0.23743203805619034</v>
      </c>
      <c r="R411">
        <v>12.349810075336347</v>
      </c>
    </row>
    <row r="412" spans="1:18" x14ac:dyDescent="0.3">
      <c r="A412">
        <v>4.4549999999999272</v>
      </c>
      <c r="B412">
        <v>4.4000000000000002E-6</v>
      </c>
      <c r="D412">
        <v>70.076263281098662</v>
      </c>
      <c r="F412">
        <v>5.8200822436420166E-4</v>
      </c>
      <c r="H412">
        <v>1.7119402135442043E-4</v>
      </c>
      <c r="J412">
        <v>140246.16429656479</v>
      </c>
      <c r="L412">
        <v>4.4549999999999272</v>
      </c>
      <c r="N412">
        <v>-2.6353329275677203E-3</v>
      </c>
      <c r="P412">
        <v>0.23718714200869059</v>
      </c>
      <c r="R412">
        <v>12.349810075336347</v>
      </c>
    </row>
    <row r="413" spans="1:18" x14ac:dyDescent="0.3">
      <c r="A413">
        <v>4.4499999999999273</v>
      </c>
      <c r="B413">
        <v>4.4000000000000002E-6</v>
      </c>
      <c r="D413">
        <v>70.076263281098662</v>
      </c>
      <c r="F413">
        <v>5.8200822436420166E-4</v>
      </c>
      <c r="H413">
        <v>1.7119402135442043E-4</v>
      </c>
      <c r="J413">
        <v>140246.16429656479</v>
      </c>
      <c r="L413">
        <v>4.4499999999999273</v>
      </c>
      <c r="N413">
        <v>-2.6324228864458995E-3</v>
      </c>
      <c r="P413">
        <v>0.23694222397177711</v>
      </c>
      <c r="R413">
        <v>12.349810075336347</v>
      </c>
    </row>
    <row r="414" spans="1:18" x14ac:dyDescent="0.3">
      <c r="A414">
        <v>4.4449999999999275</v>
      </c>
      <c r="B414">
        <v>4.4000000000000002E-6</v>
      </c>
      <c r="D414">
        <v>70.076263281098662</v>
      </c>
      <c r="F414">
        <v>5.8200822436420166E-4</v>
      </c>
      <c r="H414">
        <v>1.7119402135442043E-4</v>
      </c>
      <c r="J414">
        <v>140246.16429656479</v>
      </c>
      <c r="L414">
        <v>4.4449999999999275</v>
      </c>
      <c r="N414">
        <v>-2.6295128453240786E-3</v>
      </c>
      <c r="P414">
        <v>0.23669728391876491</v>
      </c>
      <c r="R414">
        <v>12.349810075336347</v>
      </c>
    </row>
    <row r="415" spans="1:18" x14ac:dyDescent="0.3">
      <c r="A415">
        <v>4.4399999999999276</v>
      </c>
      <c r="B415">
        <v>4.4000000000000002E-6</v>
      </c>
      <c r="D415">
        <v>70.076263281098662</v>
      </c>
      <c r="F415">
        <v>5.8200822436420166E-4</v>
      </c>
      <c r="H415">
        <v>1.7119402135442043E-4</v>
      </c>
      <c r="J415">
        <v>140246.16429656479</v>
      </c>
      <c r="L415">
        <v>4.4399999999999276</v>
      </c>
      <c r="N415">
        <v>-2.6266028042022578E-3</v>
      </c>
      <c r="P415">
        <v>0.23645232182290651</v>
      </c>
      <c r="R415">
        <v>12.349810075336347</v>
      </c>
    </row>
    <row r="416" spans="1:18" x14ac:dyDescent="0.3">
      <c r="A416">
        <v>4.4349999999999277</v>
      </c>
      <c r="B416">
        <v>4.4000000000000002E-6</v>
      </c>
      <c r="D416">
        <v>70.076263281098662</v>
      </c>
      <c r="F416">
        <v>5.8200822436420166E-4</v>
      </c>
      <c r="H416">
        <v>1.7119402135442043E-4</v>
      </c>
      <c r="J416">
        <v>140246.16429656479</v>
      </c>
      <c r="L416">
        <v>4.4349999999999277</v>
      </c>
      <c r="N416">
        <v>-2.6236927630804369E-3</v>
      </c>
      <c r="P416">
        <v>0.23620733765739185</v>
      </c>
      <c r="R416">
        <v>12.349810075336347</v>
      </c>
    </row>
    <row r="417" spans="1:18" x14ac:dyDescent="0.3">
      <c r="A417">
        <v>4.4299999999999278</v>
      </c>
      <c r="B417">
        <v>4.4000000000000002E-6</v>
      </c>
      <c r="D417">
        <v>70.076263281098662</v>
      </c>
      <c r="F417">
        <v>5.8200822436420166E-4</v>
      </c>
      <c r="H417">
        <v>1.7119402135442043E-4</v>
      </c>
      <c r="J417">
        <v>140246.16429656479</v>
      </c>
      <c r="L417">
        <v>4.4299999999999278</v>
      </c>
      <c r="N417">
        <v>-2.620782721958616E-3</v>
      </c>
      <c r="P417">
        <v>0.23596233139534806</v>
      </c>
      <c r="R417">
        <v>12.349810075336347</v>
      </c>
    </row>
    <row r="418" spans="1:18" x14ac:dyDescent="0.3">
      <c r="A418">
        <v>4.4249999999999279</v>
      </c>
      <c r="B418">
        <v>4.4000000000000002E-6</v>
      </c>
      <c r="D418">
        <v>70.076263281098662</v>
      </c>
      <c r="F418">
        <v>5.8200822436420166E-4</v>
      </c>
      <c r="H418">
        <v>1.7119402135442043E-4</v>
      </c>
      <c r="J418">
        <v>140246.16429656479</v>
      </c>
      <c r="L418">
        <v>4.4249999999999279</v>
      </c>
      <c r="N418">
        <v>-2.6178726808367952E-3</v>
      </c>
      <c r="P418">
        <v>0.23571730300983898</v>
      </c>
      <c r="R418">
        <v>12.349810075336347</v>
      </c>
    </row>
    <row r="419" spans="1:18" x14ac:dyDescent="0.3">
      <c r="A419">
        <v>4.419999999999928</v>
      </c>
      <c r="B419">
        <v>4.4000000000000002E-6</v>
      </c>
      <c r="D419">
        <v>70.076263281098662</v>
      </c>
      <c r="F419">
        <v>5.8200822436420166E-4</v>
      </c>
      <c r="H419">
        <v>1.7119402135442043E-4</v>
      </c>
      <c r="J419">
        <v>140246.16429656479</v>
      </c>
      <c r="L419">
        <v>4.419999999999928</v>
      </c>
      <c r="N419">
        <v>-2.6149626397149743E-3</v>
      </c>
      <c r="P419">
        <v>0.2354722524738653</v>
      </c>
      <c r="R419">
        <v>12.349810075336347</v>
      </c>
    </row>
    <row r="420" spans="1:18" x14ac:dyDescent="0.3">
      <c r="A420">
        <v>4.4149999999999281</v>
      </c>
      <c r="B420">
        <v>4.4000000000000002E-6</v>
      </c>
      <c r="D420">
        <v>70.076263281098662</v>
      </c>
      <c r="F420">
        <v>5.8200822436420166E-4</v>
      </c>
      <c r="H420">
        <v>1.7119402135442043E-4</v>
      </c>
      <c r="J420">
        <v>140246.16429656479</v>
      </c>
      <c r="L420">
        <v>4.4149999999999281</v>
      </c>
      <c r="N420">
        <v>-2.6120525985931535E-3</v>
      </c>
      <c r="P420">
        <v>0.23522717976036403</v>
      </c>
      <c r="R420">
        <v>12.349810075336347</v>
      </c>
    </row>
    <row r="421" spans="1:18" x14ac:dyDescent="0.3">
      <c r="A421">
        <v>4.4099999999999282</v>
      </c>
      <c r="B421">
        <v>4.4000000000000002E-6</v>
      </c>
      <c r="D421">
        <v>70.076263281098662</v>
      </c>
      <c r="F421">
        <v>5.8200822436420166E-4</v>
      </c>
      <c r="H421">
        <v>1.7119402135442043E-4</v>
      </c>
      <c r="J421">
        <v>140246.16429656479</v>
      </c>
      <c r="L421">
        <v>4.4099999999999282</v>
      </c>
      <c r="N421">
        <v>-2.6091425574713326E-3</v>
      </c>
      <c r="P421">
        <v>0.23498208484220873</v>
      </c>
      <c r="R421">
        <v>12.349810075336347</v>
      </c>
    </row>
    <row r="422" spans="1:18" x14ac:dyDescent="0.3">
      <c r="A422">
        <v>4.4049999999999283</v>
      </c>
      <c r="B422">
        <v>4.4000000000000002E-6</v>
      </c>
      <c r="D422">
        <v>70.076263281098662</v>
      </c>
      <c r="F422">
        <v>5.8200822436420166E-4</v>
      </c>
      <c r="H422">
        <v>1.7119402135442043E-4</v>
      </c>
      <c r="J422">
        <v>140246.16429656479</v>
      </c>
      <c r="L422">
        <v>4.4049999999999283</v>
      </c>
      <c r="N422">
        <v>-2.6062325163495118E-3</v>
      </c>
      <c r="P422">
        <v>0.23473696769220856</v>
      </c>
      <c r="R422">
        <v>12.349810075336347</v>
      </c>
    </row>
    <row r="423" spans="1:18" x14ac:dyDescent="0.3">
      <c r="A423">
        <v>4.3999999999999284</v>
      </c>
      <c r="B423">
        <v>4.4000000000000002E-6</v>
      </c>
      <c r="D423">
        <v>70.076263281098662</v>
      </c>
      <c r="F423">
        <v>5.8200822436420166E-4</v>
      </c>
      <c r="H423">
        <v>1.7119402135442043E-4</v>
      </c>
      <c r="J423">
        <v>140246.16429656479</v>
      </c>
      <c r="L423">
        <v>4.3999999999999284</v>
      </c>
      <c r="N423">
        <v>-2.6033224752276909E-3</v>
      </c>
      <c r="P423">
        <v>0.23449182828310891</v>
      </c>
      <c r="R423">
        <v>12.349810075336347</v>
      </c>
    </row>
    <row r="424" spans="1:18" x14ac:dyDescent="0.3">
      <c r="A424">
        <v>4.3949999999999285</v>
      </c>
      <c r="B424">
        <v>4.4000000000000002E-6</v>
      </c>
      <c r="D424">
        <v>70.076263281098662</v>
      </c>
      <c r="F424">
        <v>5.8200822436420166E-4</v>
      </c>
      <c r="H424">
        <v>1.7119402135442043E-4</v>
      </c>
      <c r="J424">
        <v>140246.16429656479</v>
      </c>
      <c r="L424">
        <v>4.3949999999999285</v>
      </c>
      <c r="N424">
        <v>-2.60041243410587E-3</v>
      </c>
      <c r="P424">
        <v>0.23424666658759041</v>
      </c>
      <c r="R424">
        <v>12.349810075336347</v>
      </c>
    </row>
    <row r="425" spans="1:18" x14ac:dyDescent="0.3">
      <c r="A425">
        <v>4.3899999999999286</v>
      </c>
      <c r="B425">
        <v>4.4000000000000002E-6</v>
      </c>
      <c r="D425">
        <v>70.076263281098662</v>
      </c>
      <c r="F425">
        <v>5.8200822436420166E-4</v>
      </c>
      <c r="H425">
        <v>1.7119402135442043E-4</v>
      </c>
      <c r="J425">
        <v>140246.16429656479</v>
      </c>
      <c r="L425">
        <v>4.3899999999999286</v>
      </c>
      <c r="N425">
        <v>-2.5975023929840492E-3</v>
      </c>
      <c r="P425">
        <v>0.23400148257826917</v>
      </c>
      <c r="R425">
        <v>12.349810075336347</v>
      </c>
    </row>
    <row r="426" spans="1:18" x14ac:dyDescent="0.3">
      <c r="A426">
        <v>4.3849999999999287</v>
      </c>
      <c r="B426">
        <v>4.4000000000000002E-6</v>
      </c>
      <c r="D426">
        <v>70.076263281098662</v>
      </c>
      <c r="F426">
        <v>5.8200822436420166E-4</v>
      </c>
      <c r="H426">
        <v>1.7119402135442043E-4</v>
      </c>
      <c r="J426">
        <v>140246.16429656479</v>
      </c>
      <c r="L426">
        <v>4.3849999999999287</v>
      </c>
      <c r="N426">
        <v>-2.5945923518622283E-3</v>
      </c>
      <c r="P426">
        <v>0.2337562762276964</v>
      </c>
      <c r="R426">
        <v>12.349810075336347</v>
      </c>
    </row>
    <row r="427" spans="1:18" x14ac:dyDescent="0.3">
      <c r="A427">
        <v>4.3799999999999288</v>
      </c>
      <c r="B427">
        <v>4.4000000000000002E-6</v>
      </c>
      <c r="D427">
        <v>70.076263281098662</v>
      </c>
      <c r="F427">
        <v>5.8200822436420166E-4</v>
      </c>
      <c r="H427">
        <v>1.7119402135442043E-4</v>
      </c>
      <c r="J427">
        <v>140246.16429656479</v>
      </c>
      <c r="L427">
        <v>4.3799999999999288</v>
      </c>
      <c r="N427">
        <v>-2.5916823107404075E-3</v>
      </c>
      <c r="P427">
        <v>0.23351104750835844</v>
      </c>
      <c r="R427">
        <v>12.349810075336347</v>
      </c>
    </row>
    <row r="428" spans="1:18" x14ac:dyDescent="0.3">
      <c r="A428">
        <v>4.3749999999999289</v>
      </c>
      <c r="B428">
        <v>4.4000000000000002E-6</v>
      </c>
      <c r="D428">
        <v>70.076263281098662</v>
      </c>
      <c r="F428">
        <v>5.8200822436420166E-4</v>
      </c>
      <c r="H428">
        <v>1.7119402135442043E-4</v>
      </c>
      <c r="J428">
        <v>140246.16429656479</v>
      </c>
      <c r="L428">
        <v>4.3749999999999289</v>
      </c>
      <c r="N428">
        <v>-2.5887722696185866E-3</v>
      </c>
      <c r="P428">
        <v>0.23326579639267586</v>
      </c>
      <c r="R428">
        <v>12.349810075336347</v>
      </c>
    </row>
    <row r="429" spans="1:18" x14ac:dyDescent="0.3">
      <c r="A429">
        <v>4.3699999999999291</v>
      </c>
      <c r="B429">
        <v>4.4000000000000002E-6</v>
      </c>
      <c r="D429">
        <v>70.076263281098662</v>
      </c>
      <c r="F429">
        <v>5.8200822436420166E-4</v>
      </c>
      <c r="H429">
        <v>1.7119402135442043E-4</v>
      </c>
      <c r="J429">
        <v>140246.16429656479</v>
      </c>
      <c r="L429">
        <v>4.3699999999999291</v>
      </c>
      <c r="N429">
        <v>-2.5858622284967657E-3</v>
      </c>
      <c r="P429">
        <v>0.23302052285300395</v>
      </c>
      <c r="R429">
        <v>12.349810075336347</v>
      </c>
    </row>
    <row r="430" spans="1:18" x14ac:dyDescent="0.3">
      <c r="A430">
        <v>4.3649999999999292</v>
      </c>
      <c r="B430">
        <v>4.4000000000000002E-6</v>
      </c>
      <c r="D430">
        <v>70.076263281098662</v>
      </c>
      <c r="F430">
        <v>5.8200822436420166E-4</v>
      </c>
      <c r="H430">
        <v>1.7119402135442043E-4</v>
      </c>
      <c r="J430">
        <v>140246.16429656479</v>
      </c>
      <c r="L430">
        <v>4.3649999999999292</v>
      </c>
      <c r="N430">
        <v>-2.5829521873749449E-3</v>
      </c>
      <c r="P430">
        <v>0.23277522686163218</v>
      </c>
      <c r="R430">
        <v>12.349810075336347</v>
      </c>
    </row>
    <row r="431" spans="1:18" x14ac:dyDescent="0.3">
      <c r="A431">
        <v>4.3599999999999293</v>
      </c>
      <c r="B431">
        <v>4.4000000000000002E-6</v>
      </c>
      <c r="D431">
        <v>70.076263281098662</v>
      </c>
      <c r="F431">
        <v>5.8200822436420166E-4</v>
      </c>
      <c r="H431">
        <v>1.7119402135442043E-4</v>
      </c>
      <c r="J431">
        <v>140246.16429656479</v>
      </c>
      <c r="L431">
        <v>4.3599999999999293</v>
      </c>
      <c r="N431">
        <v>-2.580042146253124E-3</v>
      </c>
      <c r="P431">
        <v>0.23252990839078397</v>
      </c>
      <c r="R431">
        <v>12.349810075336347</v>
      </c>
    </row>
    <row r="432" spans="1:18" x14ac:dyDescent="0.3">
      <c r="A432">
        <v>4.3549999999999294</v>
      </c>
      <c r="B432">
        <v>4.4000000000000002E-6</v>
      </c>
      <c r="D432">
        <v>70.076263281098662</v>
      </c>
      <c r="F432">
        <v>5.8200822436420166E-4</v>
      </c>
      <c r="H432">
        <v>1.7119402135442043E-4</v>
      </c>
      <c r="J432">
        <v>140246.16429656479</v>
      </c>
      <c r="L432">
        <v>4.3549999999999294</v>
      </c>
      <c r="N432">
        <v>-2.5771321051313032E-3</v>
      </c>
      <c r="P432">
        <v>0.23228456741261649</v>
      </c>
      <c r="R432">
        <v>12.349810075336347</v>
      </c>
    </row>
    <row r="433" spans="1:18" x14ac:dyDescent="0.3">
      <c r="A433">
        <v>4.3499999999999295</v>
      </c>
      <c r="B433">
        <v>4.4000000000000002E-6</v>
      </c>
      <c r="D433">
        <v>70.076263281098662</v>
      </c>
      <c r="F433">
        <v>5.8200822436420166E-4</v>
      </c>
      <c r="H433">
        <v>1.7119402135442043E-4</v>
      </c>
      <c r="J433">
        <v>140246.16429656479</v>
      </c>
      <c r="L433">
        <v>4.3499999999999295</v>
      </c>
      <c r="N433">
        <v>-2.5742220640094823E-3</v>
      </c>
      <c r="P433">
        <v>0.23203920389922034</v>
      </c>
      <c r="R433">
        <v>12.349810075336347</v>
      </c>
    </row>
    <row r="434" spans="1:18" x14ac:dyDescent="0.3">
      <c r="A434">
        <v>4.3449999999999296</v>
      </c>
      <c r="B434">
        <v>4.4000000000000002E-6</v>
      </c>
      <c r="D434">
        <v>70.076263281098662</v>
      </c>
      <c r="F434">
        <v>5.8200822436420166E-4</v>
      </c>
      <c r="H434">
        <v>1.7119402135442043E-4</v>
      </c>
      <c r="J434">
        <v>140246.16429656479</v>
      </c>
      <c r="L434">
        <v>4.3449999999999296</v>
      </c>
      <c r="N434">
        <v>-2.5713120228876615E-3</v>
      </c>
      <c r="P434">
        <v>0.23179381782261962</v>
      </c>
      <c r="R434">
        <v>12.349810075336347</v>
      </c>
    </row>
    <row r="435" spans="1:18" x14ac:dyDescent="0.3">
      <c r="A435">
        <v>4.3399999999999297</v>
      </c>
      <c r="B435">
        <v>4.4000000000000002E-6</v>
      </c>
      <c r="D435">
        <v>70.076263281098662</v>
      </c>
      <c r="F435">
        <v>5.8200822436420166E-4</v>
      </c>
      <c r="H435">
        <v>1.7119402135442043E-4</v>
      </c>
      <c r="J435">
        <v>140246.16429656479</v>
      </c>
      <c r="L435">
        <v>4.3399999999999297</v>
      </c>
      <c r="N435">
        <v>-2.5684019817658406E-3</v>
      </c>
      <c r="P435">
        <v>0.23154840915477107</v>
      </c>
      <c r="R435">
        <v>12.349810075336347</v>
      </c>
    </row>
    <row r="436" spans="1:18" x14ac:dyDescent="0.3">
      <c r="A436">
        <v>4.3349999999999298</v>
      </c>
      <c r="B436">
        <v>4.4000000000000002E-6</v>
      </c>
      <c r="D436">
        <v>70.076263281098662</v>
      </c>
      <c r="F436">
        <v>5.8200822436420166E-4</v>
      </c>
      <c r="H436">
        <v>1.7119402135442043E-4</v>
      </c>
      <c r="J436">
        <v>140246.16429656479</v>
      </c>
      <c r="L436">
        <v>4.3349999999999298</v>
      </c>
      <c r="N436">
        <v>-2.5654919406440197E-3</v>
      </c>
      <c r="P436">
        <v>0.23130297786756457</v>
      </c>
      <c r="R436">
        <v>12.349810075336347</v>
      </c>
    </row>
    <row r="437" spans="1:18" x14ac:dyDescent="0.3">
      <c r="A437">
        <v>4.3299999999999299</v>
      </c>
      <c r="B437">
        <v>4.4000000000000002E-6</v>
      </c>
      <c r="D437">
        <v>70.076263281098662</v>
      </c>
      <c r="F437">
        <v>5.8200822436420166E-4</v>
      </c>
      <c r="H437">
        <v>1.7119402135442043E-4</v>
      </c>
      <c r="J437">
        <v>140246.16429656479</v>
      </c>
      <c r="L437">
        <v>4.3299999999999299</v>
      </c>
      <c r="N437">
        <v>-2.5625818995221989E-3</v>
      </c>
      <c r="P437">
        <v>0.23105752393282247</v>
      </c>
      <c r="R437">
        <v>12.349810075336347</v>
      </c>
    </row>
    <row r="438" spans="1:18" x14ac:dyDescent="0.3">
      <c r="A438">
        <v>4.32499999999993</v>
      </c>
      <c r="B438">
        <v>4.4000000000000002E-6</v>
      </c>
      <c r="D438">
        <v>70.076263281098662</v>
      </c>
      <c r="F438">
        <v>5.8200822436420166E-4</v>
      </c>
      <c r="H438">
        <v>1.7119402135442043E-4</v>
      </c>
      <c r="J438">
        <v>140246.16429656479</v>
      </c>
      <c r="L438">
        <v>4.32499999999993</v>
      </c>
      <c r="N438">
        <v>-2.559671858400378E-3</v>
      </c>
      <c r="P438">
        <v>0.23081204732229937</v>
      </c>
      <c r="R438">
        <v>12.349810075336347</v>
      </c>
    </row>
    <row r="439" spans="1:18" x14ac:dyDescent="0.3">
      <c r="A439">
        <v>4.3199999999999301</v>
      </c>
      <c r="B439">
        <v>4.4000000000000002E-6</v>
      </c>
      <c r="D439">
        <v>70.076263281098662</v>
      </c>
      <c r="F439">
        <v>5.8200822436420166E-4</v>
      </c>
      <c r="H439">
        <v>1.7119402135442043E-4</v>
      </c>
      <c r="J439">
        <v>140246.16429656479</v>
      </c>
      <c r="L439">
        <v>4.3199999999999301</v>
      </c>
      <c r="N439">
        <v>-2.5567618172785572E-3</v>
      </c>
      <c r="P439">
        <v>0.23056654800768198</v>
      </c>
      <c r="R439">
        <v>12.349810075336347</v>
      </c>
    </row>
    <row r="440" spans="1:18" x14ac:dyDescent="0.3">
      <c r="A440">
        <v>4.3149999999999302</v>
      </c>
      <c r="B440">
        <v>4.4000000000000002E-6</v>
      </c>
      <c r="D440">
        <v>70.076263281098662</v>
      </c>
      <c r="F440">
        <v>5.8200822436420166E-4</v>
      </c>
      <c r="H440">
        <v>1.7119402135442043E-4</v>
      </c>
      <c r="J440">
        <v>140246.16429656479</v>
      </c>
      <c r="L440">
        <v>4.3149999999999302</v>
      </c>
      <c r="N440">
        <v>-2.5538517761567363E-3</v>
      </c>
      <c r="P440">
        <v>0.2303210259605889</v>
      </c>
      <c r="R440">
        <v>12.349810075336347</v>
      </c>
    </row>
    <row r="441" spans="1:18" x14ac:dyDescent="0.3">
      <c r="A441">
        <v>4.3099999999999303</v>
      </c>
      <c r="B441">
        <v>4.4000000000000002E-6</v>
      </c>
      <c r="D441">
        <v>70.076263281098662</v>
      </c>
      <c r="F441">
        <v>5.8200822436420166E-4</v>
      </c>
      <c r="H441">
        <v>1.7119402135442043E-4</v>
      </c>
      <c r="J441">
        <v>140246.16429656479</v>
      </c>
      <c r="L441">
        <v>4.3099999999999303</v>
      </c>
      <c r="N441">
        <v>-2.5509417350349155E-3</v>
      </c>
      <c r="P441">
        <v>0.23007548115257032</v>
      </c>
      <c r="R441">
        <v>12.349810075336347</v>
      </c>
    </row>
    <row r="442" spans="1:18" x14ac:dyDescent="0.3">
      <c r="A442">
        <v>4.3049999999999304</v>
      </c>
      <c r="B442">
        <v>4.4000000000000002E-6</v>
      </c>
      <c r="D442">
        <v>70.076263281098662</v>
      </c>
      <c r="F442">
        <v>5.8200822436420166E-4</v>
      </c>
      <c r="H442">
        <v>1.7119402135442043E-4</v>
      </c>
      <c r="J442">
        <v>140246.16429656479</v>
      </c>
      <c r="L442">
        <v>4.3049999999999304</v>
      </c>
      <c r="N442">
        <v>-2.5480316939130946E-3</v>
      </c>
      <c r="P442">
        <v>0.22982991355510757</v>
      </c>
      <c r="R442">
        <v>12.349810075336347</v>
      </c>
    </row>
    <row r="443" spans="1:18" x14ac:dyDescent="0.3">
      <c r="A443">
        <v>4.2999999999999305</v>
      </c>
      <c r="B443">
        <v>4.4000000000000002E-6</v>
      </c>
      <c r="D443">
        <v>70.076263281098662</v>
      </c>
      <c r="F443">
        <v>5.8200822436420166E-4</v>
      </c>
      <c r="H443">
        <v>1.7119402135442043E-4</v>
      </c>
      <c r="J443">
        <v>140246.16429656479</v>
      </c>
      <c r="L443">
        <v>4.2999999999999305</v>
      </c>
      <c r="N443">
        <v>-2.5451216527912737E-3</v>
      </c>
      <c r="P443">
        <v>0.22958432313961338</v>
      </c>
      <c r="R443">
        <v>12.349810075336347</v>
      </c>
    </row>
    <row r="444" spans="1:18" x14ac:dyDescent="0.3">
      <c r="A444">
        <v>4.2949999999999307</v>
      </c>
      <c r="B444">
        <v>4.4000000000000002E-6</v>
      </c>
      <c r="D444">
        <v>70.076263281098662</v>
      </c>
      <c r="F444">
        <v>5.8200822436420166E-4</v>
      </c>
      <c r="H444">
        <v>1.7119402135442043E-4</v>
      </c>
      <c r="J444">
        <v>140246.16429656479</v>
      </c>
      <c r="L444">
        <v>4.2949999999999307</v>
      </c>
      <c r="N444">
        <v>-2.5422116116694529E-3</v>
      </c>
      <c r="P444">
        <v>0.22933870987743121</v>
      </c>
      <c r="R444">
        <v>12.349810075336347</v>
      </c>
    </row>
    <row r="445" spans="1:18" x14ac:dyDescent="0.3">
      <c r="A445">
        <v>4.2899999999999308</v>
      </c>
      <c r="B445">
        <v>4.4000000000000002E-6</v>
      </c>
      <c r="D445">
        <v>70.076263281098662</v>
      </c>
      <c r="F445">
        <v>5.8200822436420166E-4</v>
      </c>
      <c r="H445">
        <v>1.7119402135442043E-4</v>
      </c>
      <c r="J445">
        <v>140246.16429656479</v>
      </c>
      <c r="L445">
        <v>4.2899999999999308</v>
      </c>
      <c r="N445">
        <v>-2.539301570547632E-3</v>
      </c>
      <c r="P445">
        <v>0.22909307373983498</v>
      </c>
      <c r="R445">
        <v>12.349810075336347</v>
      </c>
    </row>
    <row r="446" spans="1:18" x14ac:dyDescent="0.3">
      <c r="A446">
        <v>4.2849999999999309</v>
      </c>
      <c r="B446">
        <v>4.4000000000000002E-6</v>
      </c>
      <c r="D446">
        <v>70.076263281098662</v>
      </c>
      <c r="F446">
        <v>5.8200822436420166E-4</v>
      </c>
      <c r="H446">
        <v>1.7119402135442043E-4</v>
      </c>
      <c r="J446">
        <v>140246.16429656479</v>
      </c>
      <c r="L446">
        <v>4.2849999999999309</v>
      </c>
      <c r="N446">
        <v>-2.5363915294258112E-3</v>
      </c>
      <c r="P446">
        <v>0.22884741469802933</v>
      </c>
      <c r="R446">
        <v>12.349810075336347</v>
      </c>
    </row>
    <row r="447" spans="1:18" x14ac:dyDescent="0.3">
      <c r="A447">
        <v>4.279999999999931</v>
      </c>
      <c r="B447">
        <v>4.4000000000000002E-6</v>
      </c>
      <c r="D447">
        <v>70.076263281098662</v>
      </c>
      <c r="F447">
        <v>5.8200822436420166E-4</v>
      </c>
      <c r="H447">
        <v>1.7119402135442043E-4</v>
      </c>
      <c r="J447">
        <v>140246.16429656479</v>
      </c>
      <c r="L447">
        <v>4.279999999999931</v>
      </c>
      <c r="N447">
        <v>-2.5334814883039903E-3</v>
      </c>
      <c r="P447">
        <v>0.22860173272314854</v>
      </c>
      <c r="R447">
        <v>12.349810075336347</v>
      </c>
    </row>
    <row r="448" spans="1:18" x14ac:dyDescent="0.3">
      <c r="A448">
        <v>4.2749999999999311</v>
      </c>
      <c r="B448">
        <v>4.4000000000000002E-6</v>
      </c>
      <c r="D448">
        <v>70.076263281098662</v>
      </c>
      <c r="F448">
        <v>5.8200822436420166E-4</v>
      </c>
      <c r="H448">
        <v>1.7119402135442043E-4</v>
      </c>
      <c r="J448">
        <v>140246.16429656479</v>
      </c>
      <c r="L448">
        <v>4.2749999999999311</v>
      </c>
      <c r="N448">
        <v>-2.5305714471821695E-3</v>
      </c>
      <c r="P448">
        <v>0.22835602778625719</v>
      </c>
      <c r="R448">
        <v>12.349810075336347</v>
      </c>
    </row>
    <row r="449" spans="1:18" x14ac:dyDescent="0.3">
      <c r="A449">
        <v>4.2699999999999312</v>
      </c>
      <c r="B449">
        <v>4.4000000000000002E-6</v>
      </c>
      <c r="D449">
        <v>70.076263281098662</v>
      </c>
      <c r="F449">
        <v>5.8200822436420166E-4</v>
      </c>
      <c r="H449">
        <v>1.7119402135442043E-4</v>
      </c>
      <c r="J449">
        <v>140246.16429656479</v>
      </c>
      <c r="L449">
        <v>4.2699999999999312</v>
      </c>
      <c r="N449">
        <v>-2.5276614060603486E-3</v>
      </c>
      <c r="P449">
        <v>0.22811029985834919</v>
      </c>
      <c r="R449">
        <v>12.349810075336347</v>
      </c>
    </row>
    <row r="450" spans="1:18" x14ac:dyDescent="0.3">
      <c r="A450">
        <v>4.2649999999999313</v>
      </c>
      <c r="B450">
        <v>4.4000000000000002E-6</v>
      </c>
      <c r="D450">
        <v>70.076263281098662</v>
      </c>
      <c r="F450">
        <v>5.8200822436420166E-4</v>
      </c>
      <c r="H450">
        <v>1.7119402135442043E-4</v>
      </c>
      <c r="J450">
        <v>140246.16429656479</v>
      </c>
      <c r="L450">
        <v>4.2649999999999313</v>
      </c>
      <c r="N450">
        <v>-2.5247513649385277E-3</v>
      </c>
      <c r="P450">
        <v>0.22786454891034782</v>
      </c>
      <c r="R450">
        <v>12.349810075336347</v>
      </c>
    </row>
    <row r="451" spans="1:18" x14ac:dyDescent="0.3">
      <c r="A451">
        <v>4.2599999999999314</v>
      </c>
      <c r="B451">
        <v>4.4000000000000002E-6</v>
      </c>
      <c r="D451">
        <v>70.076263281098662</v>
      </c>
      <c r="F451">
        <v>5.8200822436420166E-4</v>
      </c>
      <c r="H451">
        <v>1.7119402135442043E-4</v>
      </c>
      <c r="J451">
        <v>140246.16429656479</v>
      </c>
      <c r="L451">
        <v>4.2599999999999314</v>
      </c>
      <c r="N451">
        <v>-2.5218413238167069E-3</v>
      </c>
      <c r="P451">
        <v>0.22761877491310561</v>
      </c>
      <c r="R451">
        <v>12.349810075336347</v>
      </c>
    </row>
    <row r="452" spans="1:18" x14ac:dyDescent="0.3">
      <c r="A452">
        <v>4.2549999999999315</v>
      </c>
      <c r="B452">
        <v>4.4000000000000002E-6</v>
      </c>
      <c r="D452">
        <v>70.076263281098662</v>
      </c>
      <c r="F452">
        <v>5.8200822436420166E-4</v>
      </c>
      <c r="H452">
        <v>1.7119402135442043E-4</v>
      </c>
      <c r="J452">
        <v>140246.16429656479</v>
      </c>
      <c r="L452">
        <v>4.2549999999999315</v>
      </c>
      <c r="N452">
        <v>-2.518931282694886E-3</v>
      </c>
      <c r="P452">
        <v>0.22737297783740373</v>
      </c>
      <c r="R452">
        <v>12.349810075336347</v>
      </c>
    </row>
    <row r="453" spans="1:18" x14ac:dyDescent="0.3">
      <c r="A453">
        <v>4.2499999999999316</v>
      </c>
      <c r="B453">
        <v>4.4000000000000002E-6</v>
      </c>
      <c r="D453">
        <v>70.076263281098662</v>
      </c>
      <c r="F453">
        <v>5.8200822436420166E-4</v>
      </c>
      <c r="H453">
        <v>1.7119402135442043E-4</v>
      </c>
      <c r="J453">
        <v>140246.16429656479</v>
      </c>
      <c r="L453">
        <v>4.2499999999999316</v>
      </c>
      <c r="N453">
        <v>-2.5160212415730652E-3</v>
      </c>
      <c r="P453">
        <v>0.22712715765395211</v>
      </c>
      <c r="R453">
        <v>12.349810075336347</v>
      </c>
    </row>
    <row r="454" spans="1:18" x14ac:dyDescent="0.3">
      <c r="A454">
        <v>4.2449999999999317</v>
      </c>
      <c r="B454">
        <v>4.4000000000000002E-6</v>
      </c>
      <c r="D454">
        <v>70.076263281098662</v>
      </c>
      <c r="F454">
        <v>5.8200822436420166E-4</v>
      </c>
      <c r="H454">
        <v>1.7119402135442043E-4</v>
      </c>
      <c r="J454">
        <v>140246.16429656479</v>
      </c>
      <c r="L454">
        <v>4.2449999999999317</v>
      </c>
      <c r="N454">
        <v>-2.5131112004512443E-3</v>
      </c>
      <c r="P454">
        <v>0.2268813143333889</v>
      </c>
      <c r="R454">
        <v>12.349810075336347</v>
      </c>
    </row>
    <row r="455" spans="1:18" x14ac:dyDescent="0.3">
      <c r="A455">
        <v>4.2399999999999318</v>
      </c>
      <c r="B455">
        <v>4.4000000000000002E-6</v>
      </c>
      <c r="D455">
        <v>70.076263281098662</v>
      </c>
      <c r="F455">
        <v>5.8200822436420166E-4</v>
      </c>
      <c r="H455">
        <v>1.7119402135442043E-4</v>
      </c>
      <c r="J455">
        <v>140246.16429656479</v>
      </c>
      <c r="L455">
        <v>4.2399999999999318</v>
      </c>
      <c r="N455">
        <v>-2.5102011593294235E-3</v>
      </c>
      <c r="P455">
        <v>0.22663544784628029</v>
      </c>
      <c r="R455">
        <v>12.349810075336347</v>
      </c>
    </row>
    <row r="456" spans="1:18" x14ac:dyDescent="0.3">
      <c r="A456">
        <v>4.2349999999999319</v>
      </c>
      <c r="B456">
        <v>4.4000000000000002E-6</v>
      </c>
      <c r="D456">
        <v>70.076263281098662</v>
      </c>
      <c r="F456">
        <v>5.8200822436420166E-4</v>
      </c>
      <c r="H456">
        <v>1.7119402135442043E-4</v>
      </c>
      <c r="J456">
        <v>140246.16429656479</v>
      </c>
      <c r="L456">
        <v>4.2349999999999319</v>
      </c>
      <c r="N456">
        <v>-2.5072911182076026E-3</v>
      </c>
      <c r="P456">
        <v>0.22638955816312034</v>
      </c>
      <c r="R456">
        <v>12.349810075336347</v>
      </c>
    </row>
    <row r="457" spans="1:18" x14ac:dyDescent="0.3">
      <c r="A457">
        <v>4.229999999999932</v>
      </c>
      <c r="B457">
        <v>4.4000000000000002E-6</v>
      </c>
      <c r="D457">
        <v>70.076263281098662</v>
      </c>
      <c r="F457">
        <v>5.8200822436420166E-4</v>
      </c>
      <c r="H457">
        <v>1.7119402135442043E-4</v>
      </c>
      <c r="J457">
        <v>140246.16429656479</v>
      </c>
      <c r="L457">
        <v>4.229999999999932</v>
      </c>
      <c r="N457">
        <v>-2.5043810770857817E-3</v>
      </c>
      <c r="P457">
        <v>0.22614364525433059</v>
      </c>
      <c r="R457">
        <v>12.349810075336347</v>
      </c>
    </row>
    <row r="458" spans="1:18" x14ac:dyDescent="0.3">
      <c r="A458">
        <v>4.2249999999999321</v>
      </c>
      <c r="B458">
        <v>4.4000000000000002E-6</v>
      </c>
      <c r="D458">
        <v>70.076263281098662</v>
      </c>
      <c r="F458">
        <v>5.8200822436420166E-4</v>
      </c>
      <c r="H458">
        <v>1.7119402135442043E-4</v>
      </c>
      <c r="J458">
        <v>140246.16429656479</v>
      </c>
      <c r="L458">
        <v>4.2249999999999321</v>
      </c>
      <c r="N458">
        <v>-2.5014710359639609E-3</v>
      </c>
      <c r="P458">
        <v>0.22589770909025997</v>
      </c>
      <c r="R458">
        <v>12.349810075336347</v>
      </c>
    </row>
    <row r="459" spans="1:18" x14ac:dyDescent="0.3">
      <c r="A459">
        <v>4.2199999999999322</v>
      </c>
      <c r="B459">
        <v>4.4000000000000002E-6</v>
      </c>
      <c r="D459">
        <v>70.076263281098662</v>
      </c>
      <c r="F459">
        <v>5.8200822436420166E-4</v>
      </c>
      <c r="H459">
        <v>1.7119402135442043E-4</v>
      </c>
      <c r="J459">
        <v>140246.16429656479</v>
      </c>
      <c r="L459">
        <v>4.2199999999999322</v>
      </c>
      <c r="N459">
        <v>-2.49856099484214E-3</v>
      </c>
      <c r="P459">
        <v>0.22565174964118428</v>
      </c>
      <c r="R459">
        <v>12.349810075336347</v>
      </c>
    </row>
    <row r="460" spans="1:18" x14ac:dyDescent="0.3">
      <c r="A460">
        <v>4.2149999999999324</v>
      </c>
      <c r="B460">
        <v>4.4000000000000002E-6</v>
      </c>
      <c r="D460">
        <v>70.076263281098662</v>
      </c>
      <c r="F460">
        <v>5.8200822436420166E-4</v>
      </c>
      <c r="H460">
        <v>1.7119402135442043E-4</v>
      </c>
      <c r="J460">
        <v>140246.16429656479</v>
      </c>
      <c r="L460">
        <v>4.2149999999999324</v>
      </c>
      <c r="N460">
        <v>-2.4956509537203192E-3</v>
      </c>
      <c r="P460">
        <v>0.22540576687730604</v>
      </c>
      <c r="R460">
        <v>12.349810075336347</v>
      </c>
    </row>
    <row r="461" spans="1:18" x14ac:dyDescent="0.3">
      <c r="A461">
        <v>4.2099999999999325</v>
      </c>
      <c r="B461">
        <v>4.4000000000000002E-6</v>
      </c>
      <c r="D461">
        <v>70.076263281098662</v>
      </c>
      <c r="F461">
        <v>5.8200822436420166E-4</v>
      </c>
      <c r="H461">
        <v>1.7119402135442043E-4</v>
      </c>
      <c r="J461">
        <v>140246.16429656479</v>
      </c>
      <c r="L461">
        <v>4.2099999999999325</v>
      </c>
      <c r="N461">
        <v>-2.4927409125984983E-3</v>
      </c>
      <c r="P461">
        <v>0.22515976076875444</v>
      </c>
      <c r="R461">
        <v>12.349810075336347</v>
      </c>
    </row>
    <row r="462" spans="1:18" x14ac:dyDescent="0.3">
      <c r="A462">
        <v>4.2049999999999326</v>
      </c>
      <c r="B462">
        <v>4.4000000000000002E-6</v>
      </c>
      <c r="D462">
        <v>70.076263281098662</v>
      </c>
      <c r="F462">
        <v>5.8200822436420166E-4</v>
      </c>
      <c r="H462">
        <v>1.7119402135442043E-4</v>
      </c>
      <c r="J462">
        <v>140246.16429656479</v>
      </c>
      <c r="L462">
        <v>4.2049999999999326</v>
      </c>
      <c r="N462">
        <v>-2.4898308714766774E-3</v>
      </c>
      <c r="P462">
        <v>0.22491373128558473</v>
      </c>
      <c r="R462">
        <v>12.349810075336347</v>
      </c>
    </row>
    <row r="463" spans="1:18" x14ac:dyDescent="0.3">
      <c r="A463">
        <v>4.1999999999999327</v>
      </c>
      <c r="B463">
        <v>4.4000000000000002E-6</v>
      </c>
      <c r="D463">
        <v>70.076263281098662</v>
      </c>
      <c r="F463">
        <v>5.8200822436420166E-4</v>
      </c>
      <c r="H463">
        <v>1.7119402135442043E-4</v>
      </c>
      <c r="J463">
        <v>140246.16429656479</v>
      </c>
      <c r="L463">
        <v>4.1999999999999327</v>
      </c>
      <c r="N463">
        <v>-2.4869208303548566E-3</v>
      </c>
      <c r="P463">
        <v>0.22466767839777804</v>
      </c>
      <c r="R463">
        <v>12.349810075336347</v>
      </c>
    </row>
    <row r="464" spans="1:18" x14ac:dyDescent="0.3">
      <c r="A464">
        <v>4.1949999999999328</v>
      </c>
      <c r="B464">
        <v>4.4000000000000002E-6</v>
      </c>
      <c r="D464">
        <v>70.076263281098662</v>
      </c>
      <c r="F464">
        <v>5.8200822436420166E-4</v>
      </c>
      <c r="H464">
        <v>1.7119402135442043E-4</v>
      </c>
      <c r="J464">
        <v>140246.16429656479</v>
      </c>
      <c r="L464">
        <v>4.1949999999999328</v>
      </c>
      <c r="N464">
        <v>-2.4840107892330357E-3</v>
      </c>
      <c r="P464">
        <v>0.22442160207524137</v>
      </c>
      <c r="R464">
        <v>12.349810075336347</v>
      </c>
    </row>
    <row r="465" spans="1:18" x14ac:dyDescent="0.3">
      <c r="A465">
        <v>4.1899999999999329</v>
      </c>
      <c r="B465">
        <v>4.4000000000000002E-6</v>
      </c>
      <c r="D465">
        <v>70.076263281098662</v>
      </c>
      <c r="F465">
        <v>5.8200822436420166E-4</v>
      </c>
      <c r="H465">
        <v>1.7119402135442043E-4</v>
      </c>
      <c r="J465">
        <v>140246.16429656479</v>
      </c>
      <c r="L465">
        <v>4.1899999999999329</v>
      </c>
      <c r="N465">
        <v>-2.4811007481112149E-3</v>
      </c>
      <c r="P465">
        <v>0.22417550228780686</v>
      </c>
      <c r="R465">
        <v>12.349810075336347</v>
      </c>
    </row>
    <row r="466" spans="1:18" x14ac:dyDescent="0.3">
      <c r="A466">
        <v>4.184999999999933</v>
      </c>
      <c r="B466">
        <v>4.4000000000000002E-6</v>
      </c>
      <c r="D466">
        <v>70.076263281098662</v>
      </c>
      <c r="F466">
        <v>5.8200822436420166E-4</v>
      </c>
      <c r="H466">
        <v>1.7119402135442043E-4</v>
      </c>
      <c r="J466">
        <v>140246.16429656479</v>
      </c>
      <c r="L466">
        <v>4.184999999999933</v>
      </c>
      <c r="N466">
        <v>-2.478190706989394E-3</v>
      </c>
      <c r="P466">
        <v>0.22392937900523205</v>
      </c>
      <c r="R466">
        <v>12.349810075336347</v>
      </c>
    </row>
    <row r="467" spans="1:18" x14ac:dyDescent="0.3">
      <c r="A467">
        <v>4.1799999999999331</v>
      </c>
      <c r="B467">
        <v>4.4000000000000002E-6</v>
      </c>
      <c r="D467">
        <v>70.076263281098662</v>
      </c>
      <c r="F467">
        <v>5.8200822436420166E-4</v>
      </c>
      <c r="H467">
        <v>1.7119402135442043E-4</v>
      </c>
      <c r="J467">
        <v>140246.16429656479</v>
      </c>
      <c r="L467">
        <v>4.1799999999999331</v>
      </c>
      <c r="N467">
        <v>-2.4752806658675732E-3</v>
      </c>
      <c r="P467">
        <v>0.22368323219719904</v>
      </c>
      <c r="R467">
        <v>12.349810075336347</v>
      </c>
    </row>
    <row r="468" spans="1:18" x14ac:dyDescent="0.3">
      <c r="A468">
        <v>4.1749999999999332</v>
      </c>
      <c r="B468">
        <v>4.4000000000000002E-6</v>
      </c>
      <c r="D468">
        <v>70.076263281098662</v>
      </c>
      <c r="F468">
        <v>5.8200822436420166E-4</v>
      </c>
      <c r="H468">
        <v>1.7119402135442043E-4</v>
      </c>
      <c r="J468">
        <v>140246.16429656479</v>
      </c>
      <c r="L468">
        <v>4.1749999999999332</v>
      </c>
      <c r="N468">
        <v>-2.4723706247457523E-3</v>
      </c>
      <c r="P468">
        <v>0.22343706183331463</v>
      </c>
      <c r="R468">
        <v>12.349810075336347</v>
      </c>
    </row>
    <row r="469" spans="1:18" x14ac:dyDescent="0.3">
      <c r="A469">
        <v>4.1699999999999333</v>
      </c>
      <c r="B469">
        <v>4.4000000000000002E-6</v>
      </c>
      <c r="D469">
        <v>70.076263281098662</v>
      </c>
      <c r="F469">
        <v>5.8200822436420166E-4</v>
      </c>
      <c r="H469">
        <v>1.7119402135442043E-4</v>
      </c>
      <c r="J469">
        <v>140246.16429656479</v>
      </c>
      <c r="L469">
        <v>4.1699999999999333</v>
      </c>
      <c r="N469">
        <v>-2.4694605836239314E-3</v>
      </c>
      <c r="P469">
        <v>0.22319086788310996</v>
      </c>
      <c r="R469">
        <v>12.349810075336347</v>
      </c>
    </row>
    <row r="470" spans="1:18" x14ac:dyDescent="0.3">
      <c r="A470">
        <v>4.1649999999999334</v>
      </c>
      <c r="B470">
        <v>4.4000000000000002E-6</v>
      </c>
      <c r="D470">
        <v>70.076263281098662</v>
      </c>
      <c r="F470">
        <v>5.8200822436420166E-4</v>
      </c>
      <c r="H470">
        <v>1.7119402135442043E-4</v>
      </c>
      <c r="J470">
        <v>140246.16429656479</v>
      </c>
      <c r="L470">
        <v>4.1649999999999334</v>
      </c>
      <c r="N470">
        <v>-2.4665505425021106E-3</v>
      </c>
      <c r="P470">
        <v>0.22294465031604008</v>
      </c>
      <c r="R470">
        <v>12.349810075336347</v>
      </c>
    </row>
    <row r="471" spans="1:18" x14ac:dyDescent="0.3">
      <c r="A471">
        <v>4.1599999999999335</v>
      </c>
      <c r="B471">
        <v>4.4000000000000002E-6</v>
      </c>
      <c r="D471">
        <v>70.076263281098662</v>
      </c>
      <c r="F471">
        <v>5.8200822436420166E-4</v>
      </c>
      <c r="H471">
        <v>1.7119402135442043E-4</v>
      </c>
      <c r="J471">
        <v>140246.16429656479</v>
      </c>
      <c r="L471">
        <v>4.1599999999999335</v>
      </c>
      <c r="N471">
        <v>-2.4636405013802897E-3</v>
      </c>
      <c r="P471">
        <v>0.22269840910148375</v>
      </c>
      <c r="R471">
        <v>12.349810075336347</v>
      </c>
    </row>
    <row r="472" spans="1:18" x14ac:dyDescent="0.3">
      <c r="A472">
        <v>4.1549999999999336</v>
      </c>
      <c r="B472">
        <v>4.4000000000000002E-6</v>
      </c>
      <c r="D472">
        <v>70.076263281098662</v>
      </c>
      <c r="F472">
        <v>5.8200822436420166E-4</v>
      </c>
      <c r="H472">
        <v>1.7119402135442043E-4</v>
      </c>
      <c r="J472">
        <v>140246.16429656479</v>
      </c>
      <c r="L472">
        <v>4.1549999999999336</v>
      </c>
      <c r="N472">
        <v>-2.4607304602584689E-3</v>
      </c>
      <c r="P472">
        <v>0.22245214420874335</v>
      </c>
      <c r="R472">
        <v>12.349810075336347</v>
      </c>
    </row>
    <row r="473" spans="1:18" x14ac:dyDescent="0.3">
      <c r="A473">
        <v>4.1499999999999337</v>
      </c>
      <c r="B473">
        <v>4.4000000000000002E-6</v>
      </c>
      <c r="D473">
        <v>70.076263281098662</v>
      </c>
      <c r="F473">
        <v>5.8200822436420166E-4</v>
      </c>
      <c r="H473">
        <v>1.7119402135442043E-4</v>
      </c>
      <c r="J473">
        <v>140246.16429656479</v>
      </c>
      <c r="L473">
        <v>4.1499999999999337</v>
      </c>
      <c r="N473">
        <v>-2.457820419136648E-3</v>
      </c>
      <c r="P473">
        <v>0.2222058556070442</v>
      </c>
      <c r="R473">
        <v>12.349810075336347</v>
      </c>
    </row>
    <row r="474" spans="1:18" x14ac:dyDescent="0.3">
      <c r="A474">
        <v>4.1449999999999338</v>
      </c>
      <c r="B474">
        <v>4.4000000000000002E-6</v>
      </c>
      <c r="D474">
        <v>70.076263281098662</v>
      </c>
      <c r="F474">
        <v>5.8200822436420166E-4</v>
      </c>
      <c r="H474">
        <v>1.7119402135442043E-4</v>
      </c>
      <c r="J474">
        <v>140246.16429656479</v>
      </c>
      <c r="L474">
        <v>4.1449999999999338</v>
      </c>
      <c r="N474">
        <v>-2.4549103780148272E-3</v>
      </c>
      <c r="P474">
        <v>0.22195954326553455</v>
      </c>
      <c r="R474">
        <v>12.349810075336347</v>
      </c>
    </row>
    <row r="475" spans="1:18" x14ac:dyDescent="0.3">
      <c r="A475">
        <v>4.139999999999934</v>
      </c>
      <c r="B475">
        <v>4.4000000000000002E-6</v>
      </c>
      <c r="D475">
        <v>70.076263281098662</v>
      </c>
      <c r="F475">
        <v>5.8200822436420166E-4</v>
      </c>
      <c r="H475">
        <v>1.7119402135442043E-4</v>
      </c>
      <c r="J475">
        <v>140246.16429656479</v>
      </c>
      <c r="L475">
        <v>4.139999999999934</v>
      </c>
      <c r="N475">
        <v>-2.4520003368930063E-3</v>
      </c>
      <c r="P475">
        <v>0.22171320715328538</v>
      </c>
      <c r="R475">
        <v>12.349810075336347</v>
      </c>
    </row>
    <row r="476" spans="1:18" x14ac:dyDescent="0.3">
      <c r="A476">
        <v>4.1349999999999341</v>
      </c>
      <c r="B476">
        <v>4.4000000000000002E-6</v>
      </c>
      <c r="D476">
        <v>70.076263281098662</v>
      </c>
      <c r="F476">
        <v>5.8200822436420166E-4</v>
      </c>
      <c r="H476">
        <v>1.7119402135442043E-4</v>
      </c>
      <c r="J476">
        <v>140246.16429656479</v>
      </c>
      <c r="L476">
        <v>4.1349999999999341</v>
      </c>
      <c r="N476">
        <v>-2.4490902957711854E-3</v>
      </c>
      <c r="P476">
        <v>0.22146684723928975</v>
      </c>
      <c r="R476">
        <v>12.349810075336347</v>
      </c>
    </row>
    <row r="477" spans="1:18" x14ac:dyDescent="0.3">
      <c r="A477">
        <v>4.1299999999999342</v>
      </c>
      <c r="B477">
        <v>4.4000000000000002E-6</v>
      </c>
      <c r="D477">
        <v>70.076263281098662</v>
      </c>
      <c r="F477">
        <v>5.8200822436420166E-4</v>
      </c>
      <c r="H477">
        <v>1.7119402135442043E-4</v>
      </c>
      <c r="J477">
        <v>140246.16429656479</v>
      </c>
      <c r="L477">
        <v>4.1299999999999342</v>
      </c>
      <c r="N477">
        <v>-2.4461802546493646E-3</v>
      </c>
      <c r="P477">
        <v>0.22122046349246297</v>
      </c>
      <c r="R477">
        <v>12.349810075336347</v>
      </c>
    </row>
    <row r="478" spans="1:18" x14ac:dyDescent="0.3">
      <c r="A478">
        <v>4.1249999999999343</v>
      </c>
      <c r="B478">
        <v>4.4000000000000002E-6</v>
      </c>
      <c r="D478">
        <v>70.076263281098662</v>
      </c>
      <c r="F478">
        <v>5.8200822436420166E-4</v>
      </c>
      <c r="H478">
        <v>1.7119402135442043E-4</v>
      </c>
      <c r="J478">
        <v>140246.16429656479</v>
      </c>
      <c r="L478">
        <v>4.1249999999999343</v>
      </c>
      <c r="N478">
        <v>-2.4432702135275437E-3</v>
      </c>
      <c r="P478">
        <v>0.22097405588164185</v>
      </c>
      <c r="R478">
        <v>12.349810075336347</v>
      </c>
    </row>
    <row r="479" spans="1:18" x14ac:dyDescent="0.3">
      <c r="A479">
        <v>4.1199999999999344</v>
      </c>
      <c r="B479">
        <v>4.4000000000000002E-6</v>
      </c>
      <c r="D479">
        <v>70.076263281098662</v>
      </c>
      <c r="F479">
        <v>5.8200822436420166E-4</v>
      </c>
      <c r="H479">
        <v>1.7119402135442043E-4</v>
      </c>
      <c r="J479">
        <v>140246.16429656479</v>
      </c>
      <c r="L479">
        <v>4.1199999999999344</v>
      </c>
      <c r="N479">
        <v>-2.4403601724057229E-3</v>
      </c>
      <c r="P479">
        <v>0.2207276243755848</v>
      </c>
      <c r="R479">
        <v>12.349810075336347</v>
      </c>
    </row>
    <row r="480" spans="1:18" x14ac:dyDescent="0.3">
      <c r="A480">
        <v>4.1149999999999345</v>
      </c>
      <c r="B480">
        <v>4.4000000000000002E-6</v>
      </c>
      <c r="D480">
        <v>70.076263281098662</v>
      </c>
      <c r="F480">
        <v>5.8200822436420166E-4</v>
      </c>
      <c r="H480">
        <v>1.7119402135442043E-4</v>
      </c>
      <c r="J480">
        <v>140246.16429656479</v>
      </c>
      <c r="L480">
        <v>4.1149999999999345</v>
      </c>
      <c r="N480">
        <v>-2.437450131283902E-3</v>
      </c>
      <c r="P480">
        <v>0.22048116894297121</v>
      </c>
      <c r="R480">
        <v>12.349810075336347</v>
      </c>
    </row>
    <row r="481" spans="1:18" x14ac:dyDescent="0.3">
      <c r="A481">
        <v>4.1099999999999346</v>
      </c>
      <c r="B481">
        <v>4.4000000000000002E-6</v>
      </c>
      <c r="D481">
        <v>70.076263281098662</v>
      </c>
      <c r="F481">
        <v>5.8200822436420166E-4</v>
      </c>
      <c r="H481">
        <v>1.7119402135442043E-4</v>
      </c>
      <c r="J481">
        <v>140246.16429656479</v>
      </c>
      <c r="L481">
        <v>4.1099999999999346</v>
      </c>
      <c r="N481">
        <v>-2.4345400901620812E-3</v>
      </c>
      <c r="P481">
        <v>0.22023468955240141</v>
      </c>
      <c r="R481">
        <v>12.349810075336347</v>
      </c>
    </row>
    <row r="482" spans="1:18" x14ac:dyDescent="0.3">
      <c r="A482">
        <v>4.1049999999999347</v>
      </c>
      <c r="B482">
        <v>4.4000000000000002E-6</v>
      </c>
      <c r="D482">
        <v>70.076263281098662</v>
      </c>
      <c r="F482">
        <v>5.8200822436420166E-4</v>
      </c>
      <c r="H482">
        <v>1.7119402135442043E-4</v>
      </c>
      <c r="J482">
        <v>140246.16429656479</v>
      </c>
      <c r="L482">
        <v>4.1049999999999347</v>
      </c>
      <c r="N482">
        <v>-2.4316300490402603E-3</v>
      </c>
      <c r="P482">
        <v>0.21998818617239629</v>
      </c>
      <c r="R482">
        <v>12.349810075336347</v>
      </c>
    </row>
    <row r="483" spans="1:18" x14ac:dyDescent="0.3">
      <c r="A483">
        <v>4.0999999999999348</v>
      </c>
      <c r="B483">
        <v>4.4000000000000002E-6</v>
      </c>
      <c r="D483">
        <v>70.076263281098662</v>
      </c>
      <c r="F483">
        <v>5.8200822436420166E-4</v>
      </c>
      <c r="H483">
        <v>1.7119402135442043E-4</v>
      </c>
      <c r="J483">
        <v>140246.16429656479</v>
      </c>
      <c r="L483">
        <v>4.0999999999999348</v>
      </c>
      <c r="N483">
        <v>-2.4287200079184394E-3</v>
      </c>
      <c r="P483">
        <v>0.21974165877139681</v>
      </c>
      <c r="R483">
        <v>12.349810075336347</v>
      </c>
    </row>
    <row r="484" spans="1:18" x14ac:dyDescent="0.3">
      <c r="A484">
        <v>4.0949999999999349</v>
      </c>
      <c r="B484">
        <v>4.4000000000000002E-6</v>
      </c>
      <c r="D484">
        <v>70.076263281098662</v>
      </c>
      <c r="F484">
        <v>5.8200822436420166E-4</v>
      </c>
      <c r="H484">
        <v>1.7119402135442043E-4</v>
      </c>
      <c r="J484">
        <v>140246.16429656479</v>
      </c>
      <c r="L484">
        <v>4.0949999999999349</v>
      </c>
      <c r="N484">
        <v>-2.4258099667966186E-3</v>
      </c>
      <c r="P484">
        <v>0.21949510731776412</v>
      </c>
      <c r="R484">
        <v>12.349810075336347</v>
      </c>
    </row>
    <row r="485" spans="1:18" x14ac:dyDescent="0.3">
      <c r="A485">
        <v>4.089999999999935</v>
      </c>
      <c r="B485">
        <v>4.4000000000000002E-6</v>
      </c>
      <c r="D485">
        <v>70.076263281098662</v>
      </c>
      <c r="F485">
        <v>5.8200822436420166E-4</v>
      </c>
      <c r="H485">
        <v>1.7119402135442043E-4</v>
      </c>
      <c r="J485">
        <v>140246.16429656479</v>
      </c>
      <c r="L485">
        <v>4.089999999999935</v>
      </c>
      <c r="N485">
        <v>-2.4228999256747977E-3</v>
      </c>
      <c r="P485">
        <v>0.21924853177977896</v>
      </c>
      <c r="R485">
        <v>12.349810075336347</v>
      </c>
    </row>
    <row r="486" spans="1:18" x14ac:dyDescent="0.3">
      <c r="A486">
        <v>4.0849999999999351</v>
      </c>
      <c r="B486">
        <v>4.4000000000000002E-6</v>
      </c>
      <c r="D486">
        <v>70.076263281098662</v>
      </c>
      <c r="F486">
        <v>5.8200822436420166E-4</v>
      </c>
      <c r="H486">
        <v>1.7119402135442043E-4</v>
      </c>
      <c r="J486">
        <v>140246.16429656479</v>
      </c>
      <c r="L486">
        <v>4.0849999999999351</v>
      </c>
      <c r="N486">
        <v>-2.4199898845529769E-3</v>
      </c>
      <c r="P486">
        <v>0.21900193212564115</v>
      </c>
      <c r="R486">
        <v>12.349810075336347</v>
      </c>
    </row>
    <row r="487" spans="1:18" x14ac:dyDescent="0.3">
      <c r="A487">
        <v>4.0799999999999352</v>
      </c>
      <c r="B487">
        <v>4.4000000000000002E-6</v>
      </c>
      <c r="D487">
        <v>70.076263281098662</v>
      </c>
      <c r="F487">
        <v>5.8200822436420166E-4</v>
      </c>
      <c r="H487">
        <v>1.7119402135442043E-4</v>
      </c>
      <c r="J487">
        <v>140246.16429656479</v>
      </c>
      <c r="L487">
        <v>4.0799999999999352</v>
      </c>
      <c r="N487">
        <v>-2.417079843431156E-3</v>
      </c>
      <c r="P487">
        <v>0.21875530832346987</v>
      </c>
      <c r="R487">
        <v>12.349810075336347</v>
      </c>
    </row>
    <row r="488" spans="1:18" x14ac:dyDescent="0.3">
      <c r="A488">
        <v>4.0749999999999353</v>
      </c>
      <c r="B488">
        <v>4.4000000000000002E-6</v>
      </c>
      <c r="D488">
        <v>70.076263281098662</v>
      </c>
      <c r="F488">
        <v>5.8200822436420166E-4</v>
      </c>
      <c r="H488">
        <v>1.7119402135442043E-4</v>
      </c>
      <c r="J488">
        <v>140246.16429656479</v>
      </c>
      <c r="L488">
        <v>4.0749999999999353</v>
      </c>
      <c r="N488">
        <v>-2.4141698023093352E-3</v>
      </c>
      <c r="P488">
        <v>0.2185086603413029</v>
      </c>
      <c r="R488">
        <v>12.349810075336347</v>
      </c>
    </row>
    <row r="489" spans="1:18" x14ac:dyDescent="0.3">
      <c r="A489">
        <v>4.0699999999999354</v>
      </c>
      <c r="B489">
        <v>4.4000000000000002E-6</v>
      </c>
      <c r="D489">
        <v>70.076263281098662</v>
      </c>
      <c r="F489">
        <v>5.8200822436420166E-4</v>
      </c>
      <c r="H489">
        <v>1.7119402135442043E-4</v>
      </c>
      <c r="J489">
        <v>140246.16429656479</v>
      </c>
      <c r="L489">
        <v>4.0699999999999354</v>
      </c>
      <c r="N489">
        <v>-2.4112597611875143E-3</v>
      </c>
      <c r="P489">
        <v>0.21826198814709646</v>
      </c>
      <c r="R489">
        <v>12.349810075336347</v>
      </c>
    </row>
    <row r="490" spans="1:18" x14ac:dyDescent="0.3">
      <c r="A490">
        <v>4.0649999999999356</v>
      </c>
      <c r="B490">
        <v>4.4000000000000002E-6</v>
      </c>
      <c r="D490">
        <v>70.076263281098662</v>
      </c>
      <c r="F490">
        <v>5.8200822436420166E-4</v>
      </c>
      <c r="H490">
        <v>1.7119402135442043E-4</v>
      </c>
      <c r="J490">
        <v>140246.16429656479</v>
      </c>
      <c r="L490">
        <v>4.0649999999999356</v>
      </c>
      <c r="N490">
        <v>-2.4083497200656934E-3</v>
      </c>
      <c r="P490">
        <v>0.21801529170872483</v>
      </c>
      <c r="R490">
        <v>12.349810075336347</v>
      </c>
    </row>
    <row r="491" spans="1:18" x14ac:dyDescent="0.3">
      <c r="A491">
        <v>4.0599999999999357</v>
      </c>
      <c r="B491">
        <v>4.4000000000000002E-6</v>
      </c>
      <c r="D491">
        <v>70.076263281098662</v>
      </c>
      <c r="F491">
        <v>5.8200822436420166E-4</v>
      </c>
      <c r="H491">
        <v>1.7119402135442043E-4</v>
      </c>
      <c r="J491">
        <v>140246.16429656479</v>
      </c>
      <c r="L491">
        <v>4.0599999999999357</v>
      </c>
      <c r="N491">
        <v>-2.4054396789438726E-3</v>
      </c>
      <c r="P491">
        <v>0.21776857099398023</v>
      </c>
      <c r="R491">
        <v>12.349810075336347</v>
      </c>
    </row>
    <row r="492" spans="1:18" x14ac:dyDescent="0.3">
      <c r="A492">
        <v>4.0549999999999358</v>
      </c>
      <c r="B492">
        <v>4.4000000000000002E-6</v>
      </c>
      <c r="D492">
        <v>70.076263281098662</v>
      </c>
      <c r="F492">
        <v>5.8200822436420166E-4</v>
      </c>
      <c r="H492">
        <v>1.7119402135442043E-4</v>
      </c>
      <c r="J492">
        <v>140246.16429656479</v>
      </c>
      <c r="L492">
        <v>4.0549999999999358</v>
      </c>
      <c r="N492">
        <v>-2.4025296378220517E-3</v>
      </c>
      <c r="P492">
        <v>0.21752182597057212</v>
      </c>
      <c r="R492">
        <v>12.349810075336347</v>
      </c>
    </row>
    <row r="493" spans="1:18" x14ac:dyDescent="0.3">
      <c r="A493">
        <v>4.0499999999999359</v>
      </c>
      <c r="B493">
        <v>4.4000000000000002E-6</v>
      </c>
      <c r="D493">
        <v>70.076263281098662</v>
      </c>
      <c r="F493">
        <v>5.8200822436420166E-4</v>
      </c>
      <c r="H493">
        <v>1.7119402135442043E-4</v>
      </c>
      <c r="J493">
        <v>140246.16429656479</v>
      </c>
      <c r="L493">
        <v>4.0499999999999359</v>
      </c>
      <c r="N493">
        <v>-2.3996195967002309E-3</v>
      </c>
      <c r="P493">
        <v>0.21727505660612736</v>
      </c>
      <c r="R493">
        <v>12.349810075336347</v>
      </c>
    </row>
    <row r="494" spans="1:18" x14ac:dyDescent="0.3">
      <c r="A494">
        <v>4.044999999999936</v>
      </c>
      <c r="B494">
        <v>4.4000000000000002E-6</v>
      </c>
      <c r="D494">
        <v>70.076263281098662</v>
      </c>
      <c r="F494">
        <v>5.8200822436420166E-4</v>
      </c>
      <c r="H494">
        <v>1.7119402135442043E-4</v>
      </c>
      <c r="J494">
        <v>140246.16429656479</v>
      </c>
      <c r="L494">
        <v>4.044999999999936</v>
      </c>
      <c r="N494">
        <v>-2.39670955557841E-3</v>
      </c>
      <c r="P494">
        <v>0.21702826286818974</v>
      </c>
      <c r="R494">
        <v>12.349810075336347</v>
      </c>
    </row>
    <row r="495" spans="1:18" x14ac:dyDescent="0.3">
      <c r="A495">
        <v>4.0399999999999361</v>
      </c>
      <c r="B495">
        <v>4.4000000000000002E-6</v>
      </c>
      <c r="D495">
        <v>70.076263281098662</v>
      </c>
      <c r="F495">
        <v>5.8200822436420166E-4</v>
      </c>
      <c r="H495">
        <v>1.7119402135442043E-4</v>
      </c>
      <c r="J495">
        <v>140246.16429656479</v>
      </c>
      <c r="L495">
        <v>4.0399999999999361</v>
      </c>
      <c r="N495">
        <v>-2.3937995144565891E-3</v>
      </c>
      <c r="P495">
        <v>0.21678144472421931</v>
      </c>
      <c r="R495">
        <v>12.349810075336347</v>
      </c>
    </row>
    <row r="496" spans="1:18" x14ac:dyDescent="0.3">
      <c r="A496">
        <v>4.0349999999999362</v>
      </c>
      <c r="B496">
        <v>4.4000000000000002E-6</v>
      </c>
      <c r="D496">
        <v>70.076263281098662</v>
      </c>
      <c r="F496">
        <v>5.8200822436420166E-4</v>
      </c>
      <c r="H496">
        <v>1.7119402135442043E-4</v>
      </c>
      <c r="J496">
        <v>140246.16429656479</v>
      </c>
      <c r="L496">
        <v>4.0349999999999362</v>
      </c>
      <c r="N496">
        <v>-2.3908894733347683E-3</v>
      </c>
      <c r="P496">
        <v>0.21653460214159259</v>
      </c>
      <c r="R496">
        <v>12.349810075336347</v>
      </c>
    </row>
    <row r="497" spans="1:18" x14ac:dyDescent="0.3">
      <c r="A497">
        <v>4.0299999999999363</v>
      </c>
      <c r="B497">
        <v>4.4000000000000002E-6</v>
      </c>
      <c r="D497">
        <v>70.076263281098662</v>
      </c>
      <c r="F497">
        <v>5.8200822436420166E-4</v>
      </c>
      <c r="H497">
        <v>1.7119402135442043E-4</v>
      </c>
      <c r="J497">
        <v>140246.16429656479</v>
      </c>
      <c r="L497">
        <v>4.0299999999999363</v>
      </c>
      <c r="N497">
        <v>-2.3879794322129474E-3</v>
      </c>
      <c r="P497">
        <v>0.21628773508760193</v>
      </c>
      <c r="R497">
        <v>12.349810075336347</v>
      </c>
    </row>
    <row r="498" spans="1:18" x14ac:dyDescent="0.3">
      <c r="A498">
        <v>4.0249999999999364</v>
      </c>
      <c r="B498">
        <v>4.4000000000000002E-6</v>
      </c>
      <c r="D498">
        <v>70.076263281098662</v>
      </c>
      <c r="F498">
        <v>5.8200822436420166E-4</v>
      </c>
      <c r="H498">
        <v>1.7119402135442043E-4</v>
      </c>
      <c r="J498">
        <v>140246.16429656479</v>
      </c>
      <c r="L498">
        <v>4.0249999999999364</v>
      </c>
      <c r="N498">
        <v>-2.3850693910911266E-3</v>
      </c>
      <c r="P498">
        <v>0.21604084352945527</v>
      </c>
      <c r="R498">
        <v>12.349810075336347</v>
      </c>
    </row>
    <row r="499" spans="1:18" x14ac:dyDescent="0.3">
      <c r="A499">
        <v>4.0199999999999365</v>
      </c>
      <c r="B499">
        <v>4.4000000000000002E-6</v>
      </c>
      <c r="D499">
        <v>70.076263281098662</v>
      </c>
      <c r="F499">
        <v>5.8200822436420166E-4</v>
      </c>
      <c r="H499">
        <v>1.7119402135442043E-4</v>
      </c>
      <c r="J499">
        <v>140246.16429656479</v>
      </c>
      <c r="L499">
        <v>4.0199999999999365</v>
      </c>
      <c r="N499">
        <v>-2.3821593499693057E-3</v>
      </c>
      <c r="P499">
        <v>0.21579392743427581</v>
      </c>
      <c r="R499">
        <v>12.349810075336347</v>
      </c>
    </row>
    <row r="500" spans="1:18" x14ac:dyDescent="0.3">
      <c r="A500">
        <v>4.0149999999999366</v>
      </c>
      <c r="B500">
        <v>4.4000000000000002E-6</v>
      </c>
      <c r="D500">
        <v>70.076263281098662</v>
      </c>
      <c r="F500">
        <v>5.8200822436420166E-4</v>
      </c>
      <c r="H500">
        <v>1.7119402135442043E-4</v>
      </c>
      <c r="J500">
        <v>140246.16429656479</v>
      </c>
      <c r="L500">
        <v>4.0149999999999366</v>
      </c>
      <c r="N500">
        <v>-2.3792493088474849E-3</v>
      </c>
      <c r="P500">
        <v>0.21554698676910167</v>
      </c>
      <c r="R500">
        <v>12.349810075336347</v>
      </c>
    </row>
    <row r="501" spans="1:18" x14ac:dyDescent="0.3">
      <c r="A501">
        <v>4.0099999999999367</v>
      </c>
      <c r="B501">
        <v>4.4000000000000002E-6</v>
      </c>
      <c r="D501">
        <v>70.076263281098662</v>
      </c>
      <c r="F501">
        <v>5.8200822436420166E-4</v>
      </c>
      <c r="H501">
        <v>1.7119402135442043E-4</v>
      </c>
      <c r="J501">
        <v>140246.16429656479</v>
      </c>
      <c r="L501">
        <v>4.0099999999999367</v>
      </c>
      <c r="N501">
        <v>-2.376339267725664E-3</v>
      </c>
      <c r="P501">
        <v>0.21530002150088573</v>
      </c>
      <c r="R501">
        <v>12.349810075336347</v>
      </c>
    </row>
    <row r="502" spans="1:18" x14ac:dyDescent="0.3">
      <c r="A502">
        <v>4.0049999999999368</v>
      </c>
      <c r="B502">
        <v>4.4000000000000002E-6</v>
      </c>
      <c r="D502">
        <v>70.076263281098662</v>
      </c>
      <c r="F502">
        <v>5.8200822436420166E-4</v>
      </c>
      <c r="H502">
        <v>1.7119402135442043E-4</v>
      </c>
      <c r="J502">
        <v>140246.16429656479</v>
      </c>
      <c r="L502">
        <v>4.0049999999999368</v>
      </c>
      <c r="N502">
        <v>-2.3734292266038431E-3</v>
      </c>
      <c r="P502">
        <v>0.21505303159649489</v>
      </c>
      <c r="R502">
        <v>12.349810075336347</v>
      </c>
    </row>
    <row r="503" spans="1:18" x14ac:dyDescent="0.3">
      <c r="A503">
        <v>3.9999999999999369</v>
      </c>
      <c r="B503">
        <v>4.4000000000000002E-6</v>
      </c>
      <c r="D503">
        <v>70.076263281098662</v>
      </c>
      <c r="F503">
        <v>5.8200822436420166E-4</v>
      </c>
      <c r="H503">
        <v>1.7119402135442043E-4</v>
      </c>
      <c r="J503">
        <v>140246.16429656479</v>
      </c>
      <c r="L503">
        <v>3.9999999999999369</v>
      </c>
      <c r="N503">
        <v>-2.3705191854820223E-3</v>
      </c>
      <c r="P503">
        <v>0.21480601702271027</v>
      </c>
      <c r="R503">
        <v>12.349810075336347</v>
      </c>
    </row>
    <row r="504" spans="1:18" x14ac:dyDescent="0.3">
      <c r="A504">
        <v>3.994999999999937</v>
      </c>
      <c r="B504">
        <v>4.4000000000000002E-6</v>
      </c>
      <c r="D504">
        <v>70.076263281098662</v>
      </c>
      <c r="F504">
        <v>5.8200822436420166E-4</v>
      </c>
      <c r="H504">
        <v>1.7119402135442043E-4</v>
      </c>
      <c r="J504">
        <v>140246.16429656479</v>
      </c>
      <c r="L504">
        <v>3.994999999999937</v>
      </c>
      <c r="N504">
        <v>-2.3676091443602014E-3</v>
      </c>
      <c r="P504">
        <v>0.21455897774622651</v>
      </c>
      <c r="R504">
        <v>12.349810075336347</v>
      </c>
    </row>
    <row r="505" spans="1:18" x14ac:dyDescent="0.3">
      <c r="A505">
        <v>3.9899999999999372</v>
      </c>
      <c r="B505">
        <v>4.4000000000000002E-6</v>
      </c>
      <c r="D505">
        <v>70.076263281098662</v>
      </c>
      <c r="F505">
        <v>5.8200822436420166E-4</v>
      </c>
      <c r="H505">
        <v>1.7119402135442043E-4</v>
      </c>
      <c r="J505">
        <v>140246.16429656479</v>
      </c>
      <c r="L505">
        <v>3.9899999999999372</v>
      </c>
      <c r="N505">
        <v>-2.3646991032383806E-3</v>
      </c>
      <c r="P505">
        <v>0.21431191373365138</v>
      </c>
      <c r="R505">
        <v>12.349810075336347</v>
      </c>
    </row>
    <row r="506" spans="1:18" x14ac:dyDescent="0.3">
      <c r="A506">
        <v>3.9849999999999373</v>
      </c>
      <c r="B506">
        <v>4.4000000000000002E-6</v>
      </c>
      <c r="D506">
        <v>70.076263281098662</v>
      </c>
      <c r="F506">
        <v>5.8200822436420166E-4</v>
      </c>
      <c r="H506">
        <v>1.7119402135442043E-4</v>
      </c>
      <c r="J506">
        <v>140246.16429656479</v>
      </c>
      <c r="L506">
        <v>3.9849999999999373</v>
      </c>
      <c r="N506">
        <v>-2.3617890621165597E-3</v>
      </c>
      <c r="P506">
        <v>0.21406482495150594</v>
      </c>
      <c r="R506">
        <v>12.349810075336347</v>
      </c>
    </row>
    <row r="507" spans="1:18" x14ac:dyDescent="0.3">
      <c r="A507">
        <v>3.9799999999999374</v>
      </c>
      <c r="B507">
        <v>4.4000000000000002E-6</v>
      </c>
      <c r="D507">
        <v>70.076263281098662</v>
      </c>
      <c r="F507">
        <v>5.8200822436420166E-4</v>
      </c>
      <c r="H507">
        <v>1.7119402135442043E-4</v>
      </c>
      <c r="J507">
        <v>140246.16429656479</v>
      </c>
      <c r="L507">
        <v>3.9799999999999374</v>
      </c>
      <c r="N507">
        <v>-2.3588790209947389E-3</v>
      </c>
      <c r="P507">
        <v>0.21381771136622366</v>
      </c>
      <c r="R507">
        <v>12.349810075336347</v>
      </c>
    </row>
    <row r="508" spans="1:18" x14ac:dyDescent="0.3">
      <c r="A508">
        <v>3.9749999999999375</v>
      </c>
      <c r="B508">
        <v>4.4000000000000002E-6</v>
      </c>
      <c r="D508">
        <v>70.076263281098662</v>
      </c>
      <c r="F508">
        <v>5.8200822436420166E-4</v>
      </c>
      <c r="H508">
        <v>1.7119402135442043E-4</v>
      </c>
      <c r="J508">
        <v>140246.16429656479</v>
      </c>
      <c r="L508">
        <v>3.9749999999999375</v>
      </c>
      <c r="N508">
        <v>-2.355968979872918E-3</v>
      </c>
      <c r="P508">
        <v>0.2135705729441503</v>
      </c>
      <c r="R508">
        <v>12.349810075336347</v>
      </c>
    </row>
    <row r="509" spans="1:18" x14ac:dyDescent="0.3">
      <c r="A509">
        <v>3.9699999999999376</v>
      </c>
      <c r="B509">
        <v>4.4000000000000002E-6</v>
      </c>
      <c r="D509">
        <v>70.076263281098662</v>
      </c>
      <c r="F509">
        <v>5.8200822436420166E-4</v>
      </c>
      <c r="H509">
        <v>1.7119402135442043E-4</v>
      </c>
      <c r="J509">
        <v>140246.16429656479</v>
      </c>
      <c r="L509">
        <v>3.9699999999999376</v>
      </c>
      <c r="N509">
        <v>-2.3530589387510971E-3</v>
      </c>
      <c r="P509">
        <v>0.21332340965154364</v>
      </c>
      <c r="R509">
        <v>12.349810075336347</v>
      </c>
    </row>
    <row r="510" spans="1:18" x14ac:dyDescent="0.3">
      <c r="A510">
        <v>3.9649999999999377</v>
      </c>
      <c r="B510">
        <v>4.4000000000000002E-6</v>
      </c>
      <c r="D510">
        <v>70.076263281098662</v>
      </c>
      <c r="F510">
        <v>5.8200822436420166E-4</v>
      </c>
      <c r="H510">
        <v>1.7119402135442043E-4</v>
      </c>
      <c r="J510">
        <v>140246.16429656479</v>
      </c>
      <c r="L510">
        <v>3.9649999999999377</v>
      </c>
      <c r="N510">
        <v>-2.3501488976292763E-3</v>
      </c>
      <c r="P510">
        <v>0.21307622145457297</v>
      </c>
      <c r="R510">
        <v>12.349810075336347</v>
      </c>
    </row>
    <row r="511" spans="1:18" x14ac:dyDescent="0.3">
      <c r="A511">
        <v>3.9599999999999378</v>
      </c>
      <c r="B511">
        <v>4.4000000000000002E-6</v>
      </c>
      <c r="D511">
        <v>70.076263281098662</v>
      </c>
      <c r="F511">
        <v>5.8200822436420166E-4</v>
      </c>
      <c r="H511">
        <v>1.7119402135442043E-4</v>
      </c>
      <c r="J511">
        <v>140246.16429656479</v>
      </c>
      <c r="L511">
        <v>3.9599999999999378</v>
      </c>
      <c r="N511">
        <v>-2.3472388565074554E-3</v>
      </c>
      <c r="P511">
        <v>0.21282900831931889</v>
      </c>
      <c r="R511">
        <v>12.349810075336347</v>
      </c>
    </row>
    <row r="512" spans="1:18" x14ac:dyDescent="0.3">
      <c r="A512">
        <v>3.9549999999999379</v>
      </c>
      <c r="B512">
        <v>4.4000000000000002E-6</v>
      </c>
      <c r="D512">
        <v>70.076263281098662</v>
      </c>
      <c r="F512">
        <v>5.8200822436420166E-4</v>
      </c>
      <c r="H512">
        <v>1.7119402135442043E-4</v>
      </c>
      <c r="J512">
        <v>140246.16429656479</v>
      </c>
      <c r="L512">
        <v>3.9549999999999379</v>
      </c>
      <c r="N512">
        <v>-2.3443288153856346E-3</v>
      </c>
      <c r="P512">
        <v>0.21258177021177302</v>
      </c>
      <c r="R512">
        <v>12.349810075336347</v>
      </c>
    </row>
    <row r="513" spans="1:18" x14ac:dyDescent="0.3">
      <c r="A513">
        <v>3.949999999999938</v>
      </c>
      <c r="B513">
        <v>4.4000000000000002E-6</v>
      </c>
      <c r="D513">
        <v>70.076263281098662</v>
      </c>
      <c r="F513">
        <v>5.8200822436420166E-4</v>
      </c>
      <c r="H513">
        <v>1.7119402135442043E-4</v>
      </c>
      <c r="J513">
        <v>140246.16429656479</v>
      </c>
      <c r="L513">
        <v>3.949999999999938</v>
      </c>
      <c r="N513">
        <v>-2.3414187742638137E-3</v>
      </c>
      <c r="P513">
        <v>0.21233450709783727</v>
      </c>
      <c r="R513">
        <v>12.349810075336347</v>
      </c>
    </row>
    <row r="514" spans="1:18" x14ac:dyDescent="0.3">
      <c r="A514">
        <v>3.9449999999999381</v>
      </c>
      <c r="B514">
        <v>4.4000000000000002E-6</v>
      </c>
      <c r="D514">
        <v>70.076263281098662</v>
      </c>
      <c r="F514">
        <v>5.8200822436420166E-4</v>
      </c>
      <c r="H514">
        <v>1.7119402135442043E-4</v>
      </c>
      <c r="J514">
        <v>140246.16429656479</v>
      </c>
      <c r="L514">
        <v>3.9449999999999381</v>
      </c>
      <c r="N514">
        <v>-2.3385087331419929E-3</v>
      </c>
      <c r="P514">
        <v>0.21208721894332411</v>
      </c>
      <c r="R514">
        <v>12.349810075336347</v>
      </c>
    </row>
    <row r="515" spans="1:18" x14ac:dyDescent="0.3">
      <c r="A515">
        <v>3.9399999999999382</v>
      </c>
      <c r="B515">
        <v>4.4000000000000002E-6</v>
      </c>
      <c r="D515">
        <v>70.076263281098662</v>
      </c>
      <c r="F515">
        <v>5.8200822436420166E-4</v>
      </c>
      <c r="H515">
        <v>1.7119402135442043E-4</v>
      </c>
      <c r="J515">
        <v>140246.16429656479</v>
      </c>
      <c r="L515">
        <v>3.9399999999999382</v>
      </c>
      <c r="N515">
        <v>-2.335598692020172E-3</v>
      </c>
      <c r="P515">
        <v>0.21183990571395558</v>
      </c>
      <c r="R515">
        <v>12.349810075336347</v>
      </c>
    </row>
    <row r="516" spans="1:18" x14ac:dyDescent="0.3">
      <c r="A516">
        <v>3.9349999999999383</v>
      </c>
      <c r="B516">
        <v>4.4000000000000002E-6</v>
      </c>
      <c r="D516">
        <v>70.076263281098662</v>
      </c>
      <c r="F516">
        <v>5.8200822436420166E-4</v>
      </c>
      <c r="H516">
        <v>1.7119402135442043E-4</v>
      </c>
      <c r="J516">
        <v>140246.16429656479</v>
      </c>
      <c r="L516">
        <v>3.9349999999999383</v>
      </c>
      <c r="N516">
        <v>-2.3326886508983511E-3</v>
      </c>
      <c r="P516">
        <v>0.21159256737536344</v>
      </c>
      <c r="R516">
        <v>12.349810075336347</v>
      </c>
    </row>
    <row r="517" spans="1:18" x14ac:dyDescent="0.3">
      <c r="A517">
        <v>3.9299999999999384</v>
      </c>
      <c r="B517">
        <v>4.4000000000000002E-6</v>
      </c>
      <c r="D517">
        <v>70.076263281098662</v>
      </c>
      <c r="F517">
        <v>5.8200822436420166E-4</v>
      </c>
      <c r="H517">
        <v>1.7119402135442043E-4</v>
      </c>
      <c r="J517">
        <v>140246.16429656479</v>
      </c>
      <c r="L517">
        <v>3.9299999999999384</v>
      </c>
      <c r="N517">
        <v>-2.3297786097765303E-3</v>
      </c>
      <c r="P517">
        <v>0.2113452038930885</v>
      </c>
      <c r="R517">
        <v>12.349810075336347</v>
      </c>
    </row>
    <row r="518" spans="1:18" x14ac:dyDescent="0.3">
      <c r="A518">
        <v>3.9249999999999385</v>
      </c>
      <c r="B518">
        <v>4.4000000000000002E-6</v>
      </c>
      <c r="D518">
        <v>70.076263281098662</v>
      </c>
      <c r="F518">
        <v>5.8200822436420166E-4</v>
      </c>
      <c r="H518">
        <v>1.7119402135442043E-4</v>
      </c>
      <c r="J518">
        <v>140246.16429656479</v>
      </c>
      <c r="L518">
        <v>3.9249999999999385</v>
      </c>
      <c r="N518">
        <v>-2.3268685686547094E-3</v>
      </c>
      <c r="P518">
        <v>0.21109781523258042</v>
      </c>
      <c r="R518">
        <v>12.349810075336347</v>
      </c>
    </row>
    <row r="519" spans="1:18" x14ac:dyDescent="0.3">
      <c r="A519">
        <v>3.9199999999999386</v>
      </c>
      <c r="B519">
        <v>4.4000000000000002E-6</v>
      </c>
      <c r="D519">
        <v>70.076263281098662</v>
      </c>
      <c r="F519">
        <v>5.8200822436420166E-4</v>
      </c>
      <c r="H519">
        <v>1.7119402135442043E-4</v>
      </c>
      <c r="J519">
        <v>140246.16429656479</v>
      </c>
      <c r="L519">
        <v>3.9199999999999386</v>
      </c>
      <c r="N519">
        <v>-2.3239585275328886E-3</v>
      </c>
      <c r="P519">
        <v>0.21085040135919733</v>
      </c>
      <c r="R519">
        <v>12.349810075336347</v>
      </c>
    </row>
    <row r="520" spans="1:18" x14ac:dyDescent="0.3">
      <c r="A520">
        <v>3.9149999999999388</v>
      </c>
      <c r="B520">
        <v>4.4000000000000002E-6</v>
      </c>
      <c r="D520">
        <v>70.076263281098662</v>
      </c>
      <c r="F520">
        <v>5.8200822436420166E-4</v>
      </c>
      <c r="H520">
        <v>1.7119402135442043E-4</v>
      </c>
      <c r="J520">
        <v>140246.16429656479</v>
      </c>
      <c r="L520">
        <v>3.9149999999999388</v>
      </c>
      <c r="N520">
        <v>-2.3210484864110677E-3</v>
      </c>
      <c r="P520">
        <v>0.21060296223820532</v>
      </c>
      <c r="R520">
        <v>12.349810075336347</v>
      </c>
    </row>
    <row r="521" spans="1:18" x14ac:dyDescent="0.3">
      <c r="A521">
        <v>3.9099999999999389</v>
      </c>
      <c r="B521">
        <v>4.4000000000000002E-6</v>
      </c>
      <c r="D521">
        <v>70.076263281098662</v>
      </c>
      <c r="F521">
        <v>5.8200822436420166E-4</v>
      </c>
      <c r="H521">
        <v>1.7119402135442043E-4</v>
      </c>
      <c r="J521">
        <v>140246.16429656479</v>
      </c>
      <c r="L521">
        <v>3.9099999999999389</v>
      </c>
      <c r="N521">
        <v>-2.3181384452892469E-3</v>
      </c>
      <c r="P521">
        <v>0.21035549783477842</v>
      </c>
      <c r="R521">
        <v>12.349810075336347</v>
      </c>
    </row>
    <row r="522" spans="1:18" x14ac:dyDescent="0.3">
      <c r="A522">
        <v>3.904999999999939</v>
      </c>
      <c r="B522">
        <v>4.4000000000000002E-6</v>
      </c>
      <c r="D522">
        <v>70.076263281098662</v>
      </c>
      <c r="F522">
        <v>5.8200822436420166E-4</v>
      </c>
      <c r="H522">
        <v>1.7119402135442043E-4</v>
      </c>
      <c r="J522">
        <v>140246.16429656479</v>
      </c>
      <c r="L522">
        <v>3.904999999999939</v>
      </c>
      <c r="N522">
        <v>-2.315228404167426E-3</v>
      </c>
      <c r="P522">
        <v>0.21010800811399791</v>
      </c>
      <c r="R522">
        <v>12.349810075336347</v>
      </c>
    </row>
    <row r="523" spans="1:18" x14ac:dyDescent="0.3">
      <c r="A523">
        <v>3.8999999999999391</v>
      </c>
      <c r="B523">
        <v>4.4000000000000002E-6</v>
      </c>
      <c r="D523">
        <v>70.076263281098662</v>
      </c>
      <c r="F523">
        <v>5.8200822436420166E-4</v>
      </c>
      <c r="H523">
        <v>1.7119402135442043E-4</v>
      </c>
      <c r="J523">
        <v>140246.16429656479</v>
      </c>
      <c r="L523">
        <v>3.8999999999999391</v>
      </c>
      <c r="N523">
        <v>-2.3123183630456051E-3</v>
      </c>
      <c r="P523">
        <v>0.20986049304085191</v>
      </c>
      <c r="R523">
        <v>12.349810075336347</v>
      </c>
    </row>
    <row r="524" spans="1:18" x14ac:dyDescent="0.3">
      <c r="A524">
        <v>3.8949999999999392</v>
      </c>
      <c r="B524">
        <v>4.4000000000000002E-6</v>
      </c>
      <c r="D524">
        <v>70.076263281098662</v>
      </c>
      <c r="F524">
        <v>5.8200822436420166E-4</v>
      </c>
      <c r="H524">
        <v>1.7119402135442043E-4</v>
      </c>
      <c r="J524">
        <v>140246.16429656479</v>
      </c>
      <c r="L524">
        <v>3.8949999999999392</v>
      </c>
      <c r="N524">
        <v>-2.3094083219237843E-3</v>
      </c>
      <c r="P524">
        <v>0.20961295258023546</v>
      </c>
      <c r="R524">
        <v>12.349810075336347</v>
      </c>
    </row>
    <row r="525" spans="1:18" x14ac:dyDescent="0.3">
      <c r="A525">
        <v>3.8899999999999393</v>
      </c>
      <c r="B525">
        <v>4.4000000000000002E-6</v>
      </c>
      <c r="D525">
        <v>70.076263281098662</v>
      </c>
      <c r="F525">
        <v>5.8200822436420166E-4</v>
      </c>
      <c r="H525">
        <v>1.7119402135442043E-4</v>
      </c>
      <c r="J525">
        <v>140246.16429656479</v>
      </c>
      <c r="L525">
        <v>3.8899999999999393</v>
      </c>
      <c r="N525">
        <v>-2.3064982808019634E-3</v>
      </c>
      <c r="P525">
        <v>0.20936538669694979</v>
      </c>
      <c r="R525">
        <v>12.349810075336347</v>
      </c>
    </row>
    <row r="526" spans="1:18" x14ac:dyDescent="0.3">
      <c r="A526">
        <v>3.8849999999999394</v>
      </c>
      <c r="B526">
        <v>4.4000000000000002E-6</v>
      </c>
      <c r="D526">
        <v>70.076263281098662</v>
      </c>
      <c r="F526">
        <v>5.8200822436420166E-4</v>
      </c>
      <c r="H526">
        <v>1.7119402135442043E-4</v>
      </c>
      <c r="J526">
        <v>140246.16429656479</v>
      </c>
      <c r="L526">
        <v>3.8849999999999394</v>
      </c>
      <c r="N526">
        <v>-2.3035882396801426E-3</v>
      </c>
      <c r="P526">
        <v>0.20911779535570174</v>
      </c>
      <c r="R526">
        <v>12.349810075336347</v>
      </c>
    </row>
    <row r="527" spans="1:18" x14ac:dyDescent="0.3">
      <c r="A527">
        <v>3.8799999999999395</v>
      </c>
      <c r="B527">
        <v>4.4000000000000002E-6</v>
      </c>
      <c r="D527">
        <v>70.076263281098662</v>
      </c>
      <c r="F527">
        <v>5.8200822436420166E-4</v>
      </c>
      <c r="H527">
        <v>1.7119402135442043E-4</v>
      </c>
      <c r="J527">
        <v>140246.16429656479</v>
      </c>
      <c r="L527">
        <v>3.8799999999999395</v>
      </c>
      <c r="N527">
        <v>-2.3006781985583217E-3</v>
      </c>
      <c r="P527">
        <v>0.20887017852110409</v>
      </c>
      <c r="R527">
        <v>12.349810075336347</v>
      </c>
    </row>
    <row r="528" spans="1:18" x14ac:dyDescent="0.3">
      <c r="A528">
        <v>3.8749999999999396</v>
      </c>
      <c r="B528">
        <v>4.4000000000000002E-6</v>
      </c>
      <c r="D528">
        <v>70.076263281098662</v>
      </c>
      <c r="F528">
        <v>5.8200822436420166E-4</v>
      </c>
      <c r="H528">
        <v>1.7119402135442043E-4</v>
      </c>
      <c r="J528">
        <v>140246.16429656479</v>
      </c>
      <c r="L528">
        <v>3.8749999999999396</v>
      </c>
      <c r="N528">
        <v>-2.2977681574365008E-3</v>
      </c>
      <c r="P528">
        <v>0.20862253615767443</v>
      </c>
      <c r="R528">
        <v>12.349810075336347</v>
      </c>
    </row>
    <row r="529" spans="1:18" x14ac:dyDescent="0.3">
      <c r="A529">
        <v>3.8699999999999397</v>
      </c>
      <c r="B529">
        <v>4.4000000000000002E-6</v>
      </c>
      <c r="D529">
        <v>70.076263281098662</v>
      </c>
      <c r="F529">
        <v>5.8200822436420166E-4</v>
      </c>
      <c r="H529">
        <v>1.7119402135442043E-4</v>
      </c>
      <c r="J529">
        <v>140246.16429656479</v>
      </c>
      <c r="L529">
        <v>3.8699999999999397</v>
      </c>
      <c r="N529">
        <v>-2.29485811631468E-3</v>
      </c>
      <c r="P529">
        <v>0.20837486822983531</v>
      </c>
      <c r="R529">
        <v>12.349810075336347</v>
      </c>
    </row>
    <row r="530" spans="1:18" x14ac:dyDescent="0.3">
      <c r="A530">
        <v>3.8649999999999398</v>
      </c>
      <c r="B530">
        <v>4.4000000000000002E-6</v>
      </c>
      <c r="D530">
        <v>70.076263281098662</v>
      </c>
      <c r="F530">
        <v>5.8200822436420166E-4</v>
      </c>
      <c r="H530">
        <v>1.7119402135442043E-4</v>
      </c>
      <c r="J530">
        <v>140246.16429656479</v>
      </c>
      <c r="L530">
        <v>3.8649999999999398</v>
      </c>
      <c r="N530">
        <v>-2.2919480751928591E-3</v>
      </c>
      <c r="P530">
        <v>0.20812717470191353</v>
      </c>
      <c r="R530">
        <v>12.349810075336347</v>
      </c>
    </row>
    <row r="531" spans="1:18" x14ac:dyDescent="0.3">
      <c r="A531">
        <v>3.8599999999999399</v>
      </c>
      <c r="B531">
        <v>4.4000000000000002E-6</v>
      </c>
      <c r="D531">
        <v>70.076263281098662</v>
      </c>
      <c r="F531">
        <v>5.8200822436420166E-4</v>
      </c>
      <c r="H531">
        <v>1.7119402135442043E-4</v>
      </c>
      <c r="J531">
        <v>140246.16429656479</v>
      </c>
      <c r="L531">
        <v>3.8599999999999399</v>
      </c>
      <c r="N531">
        <v>-2.2890380340710383E-3</v>
      </c>
      <c r="P531">
        <v>0.20787945553814005</v>
      </c>
      <c r="R531">
        <v>12.349810075336347</v>
      </c>
    </row>
    <row r="532" spans="1:18" x14ac:dyDescent="0.3">
      <c r="A532">
        <v>3.85499999999994</v>
      </c>
      <c r="B532">
        <v>4.4000000000000002E-6</v>
      </c>
      <c r="D532">
        <v>70.076263281098662</v>
      </c>
      <c r="F532">
        <v>5.8200822436420166E-4</v>
      </c>
      <c r="H532">
        <v>1.7119402135442043E-4</v>
      </c>
      <c r="J532">
        <v>140246.16429656479</v>
      </c>
      <c r="L532">
        <v>3.85499999999994</v>
      </c>
      <c r="N532">
        <v>-2.2861279929492174E-3</v>
      </c>
      <c r="P532">
        <v>0.20763171070264932</v>
      </c>
      <c r="R532">
        <v>12.349810075336347</v>
      </c>
    </row>
    <row r="533" spans="1:18" x14ac:dyDescent="0.3">
      <c r="A533">
        <v>3.8499999999999401</v>
      </c>
      <c r="B533">
        <v>4.4000000000000002E-6</v>
      </c>
      <c r="D533">
        <v>70.076263281098662</v>
      </c>
      <c r="F533">
        <v>5.8200822436420166E-4</v>
      </c>
      <c r="H533">
        <v>1.7119402135442043E-4</v>
      </c>
      <c r="J533">
        <v>140246.16429656479</v>
      </c>
      <c r="L533">
        <v>3.8499999999999401</v>
      </c>
      <c r="N533">
        <v>-2.2832179518273966E-3</v>
      </c>
      <c r="P533">
        <v>0.207383940159479</v>
      </c>
      <c r="R533">
        <v>12.349810075336347</v>
      </c>
    </row>
    <row r="534" spans="1:18" x14ac:dyDescent="0.3">
      <c r="A534">
        <v>3.8449999999999402</v>
      </c>
      <c r="B534">
        <v>4.4000000000000002E-6</v>
      </c>
      <c r="D534">
        <v>70.076263281098662</v>
      </c>
      <c r="F534">
        <v>5.8200822436420166E-4</v>
      </c>
      <c r="H534">
        <v>1.7119402135442043E-4</v>
      </c>
      <c r="J534">
        <v>140246.16429656479</v>
      </c>
      <c r="L534">
        <v>3.8449999999999402</v>
      </c>
      <c r="N534">
        <v>-2.2803079107055757E-3</v>
      </c>
      <c r="P534">
        <v>0.20713614387256984</v>
      </c>
      <c r="R534">
        <v>12.349810075336347</v>
      </c>
    </row>
    <row r="535" spans="1:18" x14ac:dyDescent="0.3">
      <c r="A535">
        <v>3.8399999999999403</v>
      </c>
      <c r="B535">
        <v>4.4000000000000002E-6</v>
      </c>
      <c r="D535">
        <v>70.076263281098662</v>
      </c>
      <c r="F535">
        <v>5.8200822436420166E-4</v>
      </c>
      <c r="H535">
        <v>1.7119402135442043E-4</v>
      </c>
      <c r="J535">
        <v>140246.16429656479</v>
      </c>
      <c r="L535">
        <v>3.8399999999999403</v>
      </c>
      <c r="N535">
        <v>-2.2773978695837548E-3</v>
      </c>
      <c r="P535">
        <v>0.20688832180576472</v>
      </c>
      <c r="R535">
        <v>12.349810075336347</v>
      </c>
    </row>
    <row r="536" spans="1:18" x14ac:dyDescent="0.3">
      <c r="A536">
        <v>3.8349999999999405</v>
      </c>
      <c r="B536">
        <v>4.4000000000000002E-6</v>
      </c>
      <c r="D536">
        <v>70.076263281098662</v>
      </c>
      <c r="F536">
        <v>5.8200822436420166E-4</v>
      </c>
      <c r="H536">
        <v>1.7119402135442043E-4</v>
      </c>
      <c r="J536">
        <v>140246.16429656479</v>
      </c>
      <c r="L536">
        <v>3.8349999999999405</v>
      </c>
      <c r="N536">
        <v>-2.274487828461934E-3</v>
      </c>
      <c r="P536">
        <v>0.20664047392280885</v>
      </c>
      <c r="R536">
        <v>12.349810075336347</v>
      </c>
    </row>
    <row r="537" spans="1:18" x14ac:dyDescent="0.3">
      <c r="A537">
        <v>3.8299999999999406</v>
      </c>
      <c r="B537">
        <v>4.4000000000000002E-6</v>
      </c>
      <c r="D537">
        <v>70.076263281098662</v>
      </c>
      <c r="F537">
        <v>5.8200822436420166E-4</v>
      </c>
      <c r="H537">
        <v>1.7119402135442043E-4</v>
      </c>
      <c r="J537">
        <v>140246.16429656479</v>
      </c>
      <c r="L537">
        <v>3.8299999999999406</v>
      </c>
      <c r="N537">
        <v>-2.2715777873401131E-3</v>
      </c>
      <c r="P537">
        <v>0.20639260018734901</v>
      </c>
      <c r="R537">
        <v>12.349810075336347</v>
      </c>
    </row>
    <row r="538" spans="1:18" x14ac:dyDescent="0.3">
      <c r="A538">
        <v>3.8249999999999407</v>
      </c>
      <c r="B538">
        <v>4.4000000000000002E-6</v>
      </c>
      <c r="D538">
        <v>70.076263281098662</v>
      </c>
      <c r="F538">
        <v>5.8200822436420166E-4</v>
      </c>
      <c r="H538">
        <v>1.7119402135442043E-4</v>
      </c>
      <c r="J538">
        <v>140246.16429656479</v>
      </c>
      <c r="L538">
        <v>3.8249999999999407</v>
      </c>
      <c r="N538">
        <v>-2.2686677462182923E-3</v>
      </c>
      <c r="P538">
        <v>0.20614470056293324</v>
      </c>
      <c r="R538">
        <v>12.349810075336347</v>
      </c>
    </row>
    <row r="539" spans="1:18" x14ac:dyDescent="0.3">
      <c r="A539">
        <v>3.8199999999999408</v>
      </c>
      <c r="B539">
        <v>4.4000000000000002E-6</v>
      </c>
      <c r="D539">
        <v>70.076263281098662</v>
      </c>
      <c r="F539">
        <v>5.8200822436420166E-4</v>
      </c>
      <c r="H539">
        <v>1.7119402135442043E-4</v>
      </c>
      <c r="J539">
        <v>140246.16429656479</v>
      </c>
      <c r="L539">
        <v>3.8199999999999408</v>
      </c>
      <c r="N539">
        <v>-2.2657577050964714E-3</v>
      </c>
      <c r="P539">
        <v>0.20589677501301051</v>
      </c>
      <c r="R539">
        <v>12.349810075336347</v>
      </c>
    </row>
    <row r="540" spans="1:18" x14ac:dyDescent="0.3">
      <c r="A540">
        <v>3.8149999999999409</v>
      </c>
      <c r="B540">
        <v>4.4000000000000002E-6</v>
      </c>
      <c r="D540">
        <v>70.076263281098662</v>
      </c>
      <c r="F540">
        <v>5.8200822436420166E-4</v>
      </c>
      <c r="H540">
        <v>1.7119402135442043E-4</v>
      </c>
      <c r="J540">
        <v>140246.16429656479</v>
      </c>
      <c r="L540">
        <v>3.8149999999999409</v>
      </c>
      <c r="N540">
        <v>-2.2628476639746506E-3</v>
      </c>
      <c r="P540">
        <v>0.20564882350093019</v>
      </c>
      <c r="R540">
        <v>12.349810075336347</v>
      </c>
    </row>
    <row r="541" spans="1:18" x14ac:dyDescent="0.3">
      <c r="A541">
        <v>3.809999999999941</v>
      </c>
      <c r="B541">
        <v>4.4000000000000002E-6</v>
      </c>
      <c r="D541">
        <v>70.076263281098662</v>
      </c>
      <c r="F541">
        <v>5.8200822436420166E-4</v>
      </c>
      <c r="H541">
        <v>1.7119402135442043E-4</v>
      </c>
      <c r="J541">
        <v>140246.16429656479</v>
      </c>
      <c r="L541">
        <v>3.809999999999941</v>
      </c>
      <c r="N541">
        <v>-2.2599376228528297E-3</v>
      </c>
      <c r="P541">
        <v>0.2054008459899419</v>
      </c>
      <c r="R541">
        <v>12.349810075336347</v>
      </c>
    </row>
    <row r="542" spans="1:18" x14ac:dyDescent="0.3">
      <c r="A542">
        <v>3.8049999999999411</v>
      </c>
      <c r="B542">
        <v>4.4000000000000002E-6</v>
      </c>
      <c r="D542">
        <v>70.076263281098662</v>
      </c>
      <c r="F542">
        <v>5.8200822436420166E-4</v>
      </c>
      <c r="H542">
        <v>1.7119402135442043E-4</v>
      </c>
      <c r="J542">
        <v>140246.16429656479</v>
      </c>
      <c r="L542">
        <v>3.8049999999999411</v>
      </c>
      <c r="N542">
        <v>-2.2570275817310088E-3</v>
      </c>
      <c r="P542">
        <v>0.20515284244319482</v>
      </c>
      <c r="R542">
        <v>12.349810075336347</v>
      </c>
    </row>
    <row r="543" spans="1:18" x14ac:dyDescent="0.3">
      <c r="A543">
        <v>3.7999999999999412</v>
      </c>
      <c r="B543">
        <v>4.4000000000000002E-6</v>
      </c>
      <c r="D543">
        <v>70.076263281098662</v>
      </c>
      <c r="F543">
        <v>5.8200822436420166E-4</v>
      </c>
      <c r="H543">
        <v>1.7119402135442043E-4</v>
      </c>
      <c r="J543">
        <v>140246.16429656479</v>
      </c>
      <c r="L543">
        <v>3.7999999999999412</v>
      </c>
      <c r="N543">
        <v>-2.254117540609188E-3</v>
      </c>
      <c r="P543">
        <v>0.20490481282373735</v>
      </c>
      <c r="R543">
        <v>12.349810075336347</v>
      </c>
    </row>
    <row r="544" spans="1:18" x14ac:dyDescent="0.3">
      <c r="A544">
        <v>3.7949999999999413</v>
      </c>
      <c r="B544">
        <v>4.4000000000000002E-6</v>
      </c>
      <c r="D544">
        <v>70.076263281098662</v>
      </c>
      <c r="F544">
        <v>5.8200822436420166E-4</v>
      </c>
      <c r="H544">
        <v>1.7119402135442043E-4</v>
      </c>
      <c r="J544">
        <v>140246.16429656479</v>
      </c>
      <c r="L544">
        <v>3.7949999999999413</v>
      </c>
      <c r="N544">
        <v>-2.2512074994873671E-3</v>
      </c>
      <c r="P544">
        <v>0.20465675709451692</v>
      </c>
      <c r="R544">
        <v>12.349810075336347</v>
      </c>
    </row>
    <row r="545" spans="1:18" x14ac:dyDescent="0.3">
      <c r="A545">
        <v>3.7899999999999414</v>
      </c>
      <c r="B545">
        <v>4.4000000000000002E-6</v>
      </c>
      <c r="D545">
        <v>70.076263281098662</v>
      </c>
      <c r="F545">
        <v>5.8200822436420166E-4</v>
      </c>
      <c r="H545">
        <v>1.7119402135442043E-4</v>
      </c>
      <c r="J545">
        <v>140246.16429656479</v>
      </c>
      <c r="L545">
        <v>3.7899999999999414</v>
      </c>
      <c r="N545">
        <v>-2.2482974583655463E-3</v>
      </c>
      <c r="P545">
        <v>0.20440867521837927</v>
      </c>
      <c r="R545">
        <v>12.349810075336347</v>
      </c>
    </row>
    <row r="546" spans="1:18" x14ac:dyDescent="0.3">
      <c r="A546">
        <v>3.7849999999999415</v>
      </c>
      <c r="B546">
        <v>4.4000000000000002E-6</v>
      </c>
      <c r="D546">
        <v>70.076263281098662</v>
      </c>
      <c r="F546">
        <v>5.8200822436420166E-4</v>
      </c>
      <c r="H546">
        <v>1.7119402135442043E-4</v>
      </c>
      <c r="J546">
        <v>140246.16429656479</v>
      </c>
      <c r="L546">
        <v>3.7849999999999415</v>
      </c>
      <c r="N546">
        <v>-2.2453874172437254E-3</v>
      </c>
      <c r="P546">
        <v>0.20416056715806821</v>
      </c>
      <c r="R546">
        <v>12.349810075336347</v>
      </c>
    </row>
    <row r="547" spans="1:18" x14ac:dyDescent="0.3">
      <c r="A547">
        <v>3.7799999999999416</v>
      </c>
      <c r="B547">
        <v>4.4000000000000002E-6</v>
      </c>
      <c r="D547">
        <v>70.076263281098662</v>
      </c>
      <c r="F547">
        <v>5.8200822436420166E-4</v>
      </c>
      <c r="H547">
        <v>1.7119402135442043E-4</v>
      </c>
      <c r="J547">
        <v>140246.16429656479</v>
      </c>
      <c r="L547">
        <v>3.7799999999999416</v>
      </c>
      <c r="N547">
        <v>-2.2424773761219046E-3</v>
      </c>
      <c r="P547">
        <v>0.20391243287622521</v>
      </c>
      <c r="R547">
        <v>12.349810075336347</v>
      </c>
    </row>
    <row r="548" spans="1:18" x14ac:dyDescent="0.3">
      <c r="A548">
        <v>3.7749999999999417</v>
      </c>
      <c r="B548">
        <v>4.4000000000000002E-6</v>
      </c>
      <c r="D548">
        <v>70.076263281098662</v>
      </c>
      <c r="F548">
        <v>5.8200822436420166E-4</v>
      </c>
      <c r="H548">
        <v>1.7119402135442043E-4</v>
      </c>
      <c r="J548">
        <v>140246.16429656479</v>
      </c>
      <c r="L548">
        <v>3.7749999999999417</v>
      </c>
      <c r="N548">
        <v>-2.2395673350000837E-3</v>
      </c>
      <c r="P548">
        <v>0.20366427233538895</v>
      </c>
      <c r="R548">
        <v>12.349810075336347</v>
      </c>
    </row>
    <row r="549" spans="1:18" x14ac:dyDescent="0.3">
      <c r="A549">
        <v>3.7699999999999418</v>
      </c>
      <c r="B549">
        <v>4.4000000000000002E-6</v>
      </c>
      <c r="D549">
        <v>70.076263281098662</v>
      </c>
      <c r="F549">
        <v>5.8200822436420166E-4</v>
      </c>
      <c r="H549">
        <v>1.7119402135442043E-4</v>
      </c>
      <c r="J549">
        <v>140246.16429656479</v>
      </c>
      <c r="L549">
        <v>3.7699999999999418</v>
      </c>
      <c r="N549">
        <v>-2.2366572938782628E-3</v>
      </c>
      <c r="P549">
        <v>0.20341608549799492</v>
      </c>
      <c r="R549">
        <v>12.349810075336347</v>
      </c>
    </row>
    <row r="550" spans="1:18" x14ac:dyDescent="0.3">
      <c r="A550">
        <v>3.7649999999999419</v>
      </c>
      <c r="B550">
        <v>4.4000000000000002E-6</v>
      </c>
      <c r="D550">
        <v>70.076263281098662</v>
      </c>
      <c r="F550">
        <v>5.8200822436420166E-4</v>
      </c>
      <c r="H550">
        <v>1.7119402135442043E-4</v>
      </c>
      <c r="J550">
        <v>140246.16429656479</v>
      </c>
      <c r="L550">
        <v>3.7649999999999419</v>
      </c>
      <c r="N550">
        <v>-2.233747252756442E-3</v>
      </c>
      <c r="P550">
        <v>0.20316787232637487</v>
      </c>
      <c r="R550">
        <v>12.349810075336347</v>
      </c>
    </row>
    <row r="551" spans="1:18" x14ac:dyDescent="0.3">
      <c r="A551">
        <v>3.7599999999999421</v>
      </c>
      <c r="B551">
        <v>4.4000000000000002E-6</v>
      </c>
      <c r="D551">
        <v>70.076263281098662</v>
      </c>
      <c r="F551">
        <v>5.8200822436420166E-4</v>
      </c>
      <c r="H551">
        <v>1.7119402135442043E-4</v>
      </c>
      <c r="J551">
        <v>140246.16429656479</v>
      </c>
      <c r="L551">
        <v>3.7599999999999421</v>
      </c>
      <c r="N551">
        <v>-2.2308372116346211E-3</v>
      </c>
      <c r="P551">
        <v>0.2029196327827566</v>
      </c>
      <c r="R551">
        <v>12.349810075336347</v>
      </c>
    </row>
    <row r="552" spans="1:18" x14ac:dyDescent="0.3">
      <c r="A552">
        <v>3.7549999999999422</v>
      </c>
      <c r="B552">
        <v>4.4000000000000002E-6</v>
      </c>
      <c r="D552">
        <v>70.076263281098662</v>
      </c>
      <c r="F552">
        <v>5.8200822436420166E-4</v>
      </c>
      <c r="H552">
        <v>1.7119402135442043E-4</v>
      </c>
      <c r="J552">
        <v>140246.16429656479</v>
      </c>
      <c r="L552">
        <v>3.7549999999999422</v>
      </c>
      <c r="N552">
        <v>-2.2279271705128003E-3</v>
      </c>
      <c r="P552">
        <v>0.2026713668292634</v>
      </c>
      <c r="R552">
        <v>12.349810075336347</v>
      </c>
    </row>
    <row r="553" spans="1:18" x14ac:dyDescent="0.3">
      <c r="A553">
        <v>3.7499999999999423</v>
      </c>
      <c r="B553">
        <v>4.4000000000000002E-6</v>
      </c>
      <c r="D553">
        <v>70.076263281098662</v>
      </c>
      <c r="F553">
        <v>5.8200822436420166E-4</v>
      </c>
      <c r="H553">
        <v>1.7119402135442043E-4</v>
      </c>
      <c r="J553">
        <v>140246.16429656479</v>
      </c>
      <c r="L553">
        <v>3.7499999999999423</v>
      </c>
      <c r="N553">
        <v>-2.2250171293909794E-3</v>
      </c>
      <c r="P553">
        <v>0.20242307442791363</v>
      </c>
      <c r="R553">
        <v>12.349810075336347</v>
      </c>
    </row>
    <row r="554" spans="1:18" x14ac:dyDescent="0.3">
      <c r="A554">
        <v>3.7449999999999424</v>
      </c>
      <c r="B554">
        <v>4.4000000000000002E-6</v>
      </c>
      <c r="D554">
        <v>70.076263281098662</v>
      </c>
      <c r="F554">
        <v>5.8200822436420166E-4</v>
      </c>
      <c r="H554">
        <v>1.7119402135442043E-4</v>
      </c>
      <c r="J554">
        <v>140246.16429656479</v>
      </c>
      <c r="L554">
        <v>3.7449999999999424</v>
      </c>
      <c r="N554">
        <v>-2.2221070882691586E-3</v>
      </c>
      <c r="P554">
        <v>0.20217475554062031</v>
      </c>
      <c r="R554">
        <v>12.349810075336347</v>
      </c>
    </row>
    <row r="555" spans="1:18" x14ac:dyDescent="0.3">
      <c r="A555">
        <v>3.7399999999999425</v>
      </c>
      <c r="B555">
        <v>4.4000000000000002E-6</v>
      </c>
      <c r="D555">
        <v>70.076263281098662</v>
      </c>
      <c r="F555">
        <v>5.8200822436420166E-4</v>
      </c>
      <c r="H555">
        <v>1.7119402135442043E-4</v>
      </c>
      <c r="J555">
        <v>140246.16429656479</v>
      </c>
      <c r="L555">
        <v>3.7399999999999425</v>
      </c>
      <c r="N555">
        <v>-2.2191970471473377E-3</v>
      </c>
      <c r="P555">
        <v>0.20192641012919077</v>
      </c>
      <c r="R555">
        <v>12.349810075336347</v>
      </c>
    </row>
    <row r="556" spans="1:18" x14ac:dyDescent="0.3">
      <c r="A556">
        <v>3.7349999999999426</v>
      </c>
      <c r="B556">
        <v>4.4000000000000002E-6</v>
      </c>
      <c r="D556">
        <v>70.076263281098662</v>
      </c>
      <c r="F556">
        <v>5.8200822436420166E-4</v>
      </c>
      <c r="H556">
        <v>1.7119402135442043E-4</v>
      </c>
      <c r="J556">
        <v>140246.16429656479</v>
      </c>
      <c r="L556">
        <v>3.7349999999999426</v>
      </c>
      <c r="N556">
        <v>-2.2162870060255168E-3</v>
      </c>
      <c r="P556">
        <v>0.20167803815532601</v>
      </c>
      <c r="R556">
        <v>12.349810075336347</v>
      </c>
    </row>
    <row r="557" spans="1:18" x14ac:dyDescent="0.3">
      <c r="A557">
        <v>3.7299999999999427</v>
      </c>
      <c r="B557">
        <v>4.4000000000000002E-6</v>
      </c>
      <c r="D557">
        <v>70.076263281098662</v>
      </c>
      <c r="F557">
        <v>5.8200822436420166E-4</v>
      </c>
      <c r="H557">
        <v>1.7119402135442043E-4</v>
      </c>
      <c r="J557">
        <v>140246.16429656479</v>
      </c>
      <c r="L557">
        <v>3.7299999999999427</v>
      </c>
      <c r="N557">
        <v>-2.213376964903696E-3</v>
      </c>
      <c r="P557">
        <v>0.20142963958062035</v>
      </c>
      <c r="R557">
        <v>12.349810075336347</v>
      </c>
    </row>
    <row r="558" spans="1:18" x14ac:dyDescent="0.3">
      <c r="A558">
        <v>3.7249999999999428</v>
      </c>
      <c r="B558">
        <v>4.4000000000000002E-6</v>
      </c>
      <c r="D558">
        <v>70.076263281098662</v>
      </c>
      <c r="F558">
        <v>5.8200822436420166E-4</v>
      </c>
      <c r="H558">
        <v>1.7119402135442043E-4</v>
      </c>
      <c r="J558">
        <v>140246.16429656479</v>
      </c>
      <c r="L558">
        <v>3.7249999999999428</v>
      </c>
      <c r="N558">
        <v>-2.2104669237818751E-3</v>
      </c>
      <c r="P558">
        <v>0.2011812143665612</v>
      </c>
      <c r="R558">
        <v>12.349810075336347</v>
      </c>
    </row>
    <row r="559" spans="1:18" x14ac:dyDescent="0.3">
      <c r="A559">
        <v>3.7199999999999429</v>
      </c>
      <c r="B559">
        <v>4.4000000000000002E-6</v>
      </c>
      <c r="D559">
        <v>70.076263281098662</v>
      </c>
      <c r="F559">
        <v>5.8200822436420166E-4</v>
      </c>
      <c r="H559">
        <v>1.7119402135442043E-4</v>
      </c>
      <c r="J559">
        <v>140246.16429656479</v>
      </c>
      <c r="L559">
        <v>3.7199999999999429</v>
      </c>
      <c r="N559">
        <v>-2.2075568826600543E-3</v>
      </c>
      <c r="P559">
        <v>0.20093276247452838</v>
      </c>
      <c r="R559">
        <v>12.349810075336347</v>
      </c>
    </row>
    <row r="560" spans="1:18" x14ac:dyDescent="0.3">
      <c r="A560">
        <v>3.714999999999943</v>
      </c>
      <c r="B560">
        <v>4.4000000000000002E-6</v>
      </c>
      <c r="D560">
        <v>70.076263281098662</v>
      </c>
      <c r="F560">
        <v>5.8200822436420166E-4</v>
      </c>
      <c r="H560">
        <v>1.7119402135442043E-4</v>
      </c>
      <c r="J560">
        <v>140246.16429656479</v>
      </c>
      <c r="L560">
        <v>3.714999999999943</v>
      </c>
      <c r="N560">
        <v>-2.2046468415382334E-3</v>
      </c>
      <c r="P560">
        <v>0.20068428386579354</v>
      </c>
      <c r="R560">
        <v>12.349810075336347</v>
      </c>
    </row>
    <row r="561" spans="1:18" x14ac:dyDescent="0.3">
      <c r="A561">
        <v>3.7099999999999431</v>
      </c>
      <c r="B561">
        <v>4.4000000000000002E-6</v>
      </c>
      <c r="D561">
        <v>70.076263281098662</v>
      </c>
      <c r="F561">
        <v>5.8200822436420166E-4</v>
      </c>
      <c r="H561">
        <v>1.7119402135442043E-4</v>
      </c>
      <c r="J561">
        <v>140246.16429656479</v>
      </c>
      <c r="L561">
        <v>3.7099999999999431</v>
      </c>
      <c r="N561">
        <v>-2.2017368004164125E-3</v>
      </c>
      <c r="P561">
        <v>0.2004357785015202</v>
      </c>
      <c r="R561">
        <v>12.349810075336347</v>
      </c>
    </row>
    <row r="562" spans="1:18" x14ac:dyDescent="0.3">
      <c r="A562">
        <v>3.7049999999999432</v>
      </c>
      <c r="B562">
        <v>4.4000000000000002E-6</v>
      </c>
      <c r="D562">
        <v>70.076263281098662</v>
      </c>
      <c r="F562">
        <v>5.8200822436420166E-4</v>
      </c>
      <c r="H562">
        <v>1.7119402135442043E-4</v>
      </c>
      <c r="J562">
        <v>140246.16429656479</v>
      </c>
      <c r="L562">
        <v>3.7049999999999432</v>
      </c>
      <c r="N562">
        <v>-2.1988267592945917E-3</v>
      </c>
      <c r="P562">
        <v>0.2001872463427628</v>
      </c>
      <c r="R562">
        <v>12.349810075336347</v>
      </c>
    </row>
    <row r="563" spans="1:18" x14ac:dyDescent="0.3">
      <c r="A563">
        <v>3.6999999999999433</v>
      </c>
      <c r="B563">
        <v>4.4000000000000002E-6</v>
      </c>
      <c r="D563">
        <v>70.076263281098662</v>
      </c>
      <c r="F563">
        <v>5.8200822436420166E-4</v>
      </c>
      <c r="H563">
        <v>1.7119402135442043E-4</v>
      </c>
      <c r="J563">
        <v>140246.16429656479</v>
      </c>
      <c r="L563">
        <v>3.6999999999999433</v>
      </c>
      <c r="N563">
        <v>-2.1959167181727708E-3</v>
      </c>
      <c r="P563">
        <v>0.19993868735046655</v>
      </c>
      <c r="R563">
        <v>12.349810075336347</v>
      </c>
    </row>
    <row r="564" spans="1:18" x14ac:dyDescent="0.3">
      <c r="A564">
        <v>3.6949999999999434</v>
      </c>
      <c r="B564">
        <v>4.4000000000000002E-6</v>
      </c>
      <c r="D564">
        <v>70.076263281098662</v>
      </c>
      <c r="F564">
        <v>5.8200822436420166E-4</v>
      </c>
      <c r="H564">
        <v>1.7119402135442043E-4</v>
      </c>
      <c r="J564">
        <v>140246.16429656479</v>
      </c>
      <c r="L564">
        <v>3.6949999999999434</v>
      </c>
      <c r="N564">
        <v>-2.19300667705095E-3</v>
      </c>
      <c r="P564">
        <v>0.19969010148546679</v>
      </c>
      <c r="R564">
        <v>12.349810075336347</v>
      </c>
    </row>
    <row r="565" spans="1:18" x14ac:dyDescent="0.3">
      <c r="A565">
        <v>3.6899999999999435</v>
      </c>
      <c r="B565">
        <v>4.4000000000000002E-6</v>
      </c>
      <c r="D565">
        <v>70.076263281098662</v>
      </c>
      <c r="F565">
        <v>5.8200822436420166E-4</v>
      </c>
      <c r="H565">
        <v>1.7119402135442043E-4</v>
      </c>
      <c r="J565">
        <v>140246.16429656479</v>
      </c>
      <c r="L565">
        <v>3.6899999999999435</v>
      </c>
      <c r="N565">
        <v>-2.1900966359291291E-3</v>
      </c>
      <c r="P565">
        <v>0.1994414887084888</v>
      </c>
      <c r="R565">
        <v>12.349810075336347</v>
      </c>
    </row>
    <row r="566" spans="1:18" x14ac:dyDescent="0.3">
      <c r="A566">
        <v>3.6849999999999437</v>
      </c>
      <c r="B566">
        <v>4.4000000000000002E-6</v>
      </c>
      <c r="D566">
        <v>70.076263281098662</v>
      </c>
      <c r="F566">
        <v>5.8200822436420166E-4</v>
      </c>
      <c r="H566">
        <v>1.7119402135442043E-4</v>
      </c>
      <c r="J566">
        <v>140246.16429656479</v>
      </c>
      <c r="L566">
        <v>3.6849999999999437</v>
      </c>
      <c r="N566">
        <v>-2.1871865948073083E-3</v>
      </c>
      <c r="P566">
        <v>0.19919284898014683</v>
      </c>
      <c r="R566">
        <v>12.349810075336347</v>
      </c>
    </row>
    <row r="567" spans="1:18" x14ac:dyDescent="0.3">
      <c r="A567">
        <v>3.6799999999999438</v>
      </c>
      <c r="B567">
        <v>4.4000000000000002E-6</v>
      </c>
      <c r="D567">
        <v>70.076263281098662</v>
      </c>
      <c r="F567">
        <v>5.8200822436420166E-4</v>
      </c>
      <c r="H567">
        <v>1.7119402135442043E-4</v>
      </c>
      <c r="J567">
        <v>140246.16429656479</v>
      </c>
      <c r="L567">
        <v>3.6799999999999438</v>
      </c>
      <c r="N567">
        <v>-2.1842765536854874E-3</v>
      </c>
      <c r="P567">
        <v>0.19894418226094446</v>
      </c>
      <c r="R567">
        <v>12.349810075336347</v>
      </c>
    </row>
    <row r="568" spans="1:18" x14ac:dyDescent="0.3">
      <c r="A568">
        <v>3.6749999999999439</v>
      </c>
      <c r="B568">
        <v>4.4000000000000002E-6</v>
      </c>
      <c r="D568">
        <v>70.076263281098662</v>
      </c>
      <c r="F568">
        <v>5.8200822436420166E-4</v>
      </c>
      <c r="H568">
        <v>1.7119402135442043E-4</v>
      </c>
      <c r="J568">
        <v>140246.16429656479</v>
      </c>
      <c r="L568">
        <v>3.6749999999999439</v>
      </c>
      <c r="N568">
        <v>-2.1813665125636665E-3</v>
      </c>
      <c r="P568">
        <v>0.19869548851127308</v>
      </c>
      <c r="R568">
        <v>12.349810075336347</v>
      </c>
    </row>
    <row r="569" spans="1:18" x14ac:dyDescent="0.3">
      <c r="A569">
        <v>3.669999999999944</v>
      </c>
      <c r="B569">
        <v>4.4000000000000002E-6</v>
      </c>
      <c r="D569">
        <v>70.076263281098662</v>
      </c>
      <c r="F569">
        <v>5.8200822436420166E-4</v>
      </c>
      <c r="H569">
        <v>1.7119402135442043E-4</v>
      </c>
      <c r="J569">
        <v>140246.16429656479</v>
      </c>
      <c r="L569">
        <v>3.669999999999944</v>
      </c>
      <c r="N569">
        <v>-2.1784564714418457E-3</v>
      </c>
      <c r="P569">
        <v>0.19844676769141242</v>
      </c>
      <c r="R569">
        <v>12.349810075336347</v>
      </c>
    </row>
    <row r="570" spans="1:18" x14ac:dyDescent="0.3">
      <c r="A570">
        <v>3.6649999999999441</v>
      </c>
      <c r="B570">
        <v>4.4000000000000002E-6</v>
      </c>
      <c r="D570">
        <v>70.076263281098662</v>
      </c>
      <c r="F570">
        <v>5.8200822436420166E-4</v>
      </c>
      <c r="H570">
        <v>1.7119402135442043E-4</v>
      </c>
      <c r="J570">
        <v>140246.16429656479</v>
      </c>
      <c r="L570">
        <v>3.6649999999999441</v>
      </c>
      <c r="N570">
        <v>-2.1755464303200248E-3</v>
      </c>
      <c r="P570">
        <v>0.19819801976152954</v>
      </c>
      <c r="R570">
        <v>12.349810075336347</v>
      </c>
    </row>
    <row r="571" spans="1:18" x14ac:dyDescent="0.3">
      <c r="A571">
        <v>3.6599999999999442</v>
      </c>
      <c r="B571">
        <v>4.4000000000000002E-6</v>
      </c>
      <c r="D571">
        <v>70.076263281098662</v>
      </c>
      <c r="F571">
        <v>5.8200822436420166E-4</v>
      </c>
      <c r="H571">
        <v>1.7119402135442043E-4</v>
      </c>
      <c r="J571">
        <v>140246.16429656479</v>
      </c>
      <c r="L571">
        <v>3.6599999999999442</v>
      </c>
      <c r="N571">
        <v>-2.172636389198204E-3</v>
      </c>
      <c r="P571">
        <v>0.19794924468167821</v>
      </c>
      <c r="R571">
        <v>12.349810075336347</v>
      </c>
    </row>
    <row r="572" spans="1:18" x14ac:dyDescent="0.3">
      <c r="A572">
        <v>3.6549999999999443</v>
      </c>
      <c r="B572">
        <v>4.4000000000000002E-6</v>
      </c>
      <c r="D572">
        <v>70.076263281098662</v>
      </c>
      <c r="F572">
        <v>5.8200822436420166E-4</v>
      </c>
      <c r="H572">
        <v>1.7119402135442043E-4</v>
      </c>
      <c r="J572">
        <v>140246.16429656479</v>
      </c>
      <c r="L572">
        <v>3.6549999999999443</v>
      </c>
      <c r="N572">
        <v>-2.1697263480763831E-3</v>
      </c>
      <c r="P572">
        <v>0.19770044241179904</v>
      </c>
      <c r="R572">
        <v>12.349810075336347</v>
      </c>
    </row>
    <row r="573" spans="1:18" x14ac:dyDescent="0.3">
      <c r="A573">
        <v>3.6499999999999444</v>
      </c>
      <c r="B573">
        <v>4.4000000000000002E-6</v>
      </c>
      <c r="D573">
        <v>70.076263281098662</v>
      </c>
      <c r="F573">
        <v>5.8200822436420166E-4</v>
      </c>
      <c r="H573">
        <v>1.7119402135442043E-4</v>
      </c>
      <c r="J573">
        <v>140246.16429656479</v>
      </c>
      <c r="L573">
        <v>3.6499999999999444</v>
      </c>
      <c r="N573">
        <v>-2.1668163069545623E-3</v>
      </c>
      <c r="P573">
        <v>0.19745161291171845</v>
      </c>
      <c r="R573">
        <v>12.349810075336347</v>
      </c>
    </row>
    <row r="574" spans="1:18" x14ac:dyDescent="0.3">
      <c r="A574">
        <v>3.6449999999999445</v>
      </c>
      <c r="B574">
        <v>4.4000000000000002E-6</v>
      </c>
      <c r="D574">
        <v>70.076263281098662</v>
      </c>
      <c r="F574">
        <v>5.8200822436420166E-4</v>
      </c>
      <c r="H574">
        <v>1.7119402135442043E-4</v>
      </c>
      <c r="J574">
        <v>140246.16429656479</v>
      </c>
      <c r="L574">
        <v>3.6449999999999445</v>
      </c>
      <c r="N574">
        <v>-2.1639062658327414E-3</v>
      </c>
      <c r="P574">
        <v>0.19720275614114841</v>
      </c>
      <c r="R574">
        <v>12.349810075336347</v>
      </c>
    </row>
    <row r="575" spans="1:18" x14ac:dyDescent="0.3">
      <c r="A575">
        <v>3.6399999999999446</v>
      </c>
      <c r="B575">
        <v>4.4000000000000002E-6</v>
      </c>
      <c r="D575">
        <v>70.076263281098662</v>
      </c>
      <c r="F575">
        <v>5.8200822436420166E-4</v>
      </c>
      <c r="H575">
        <v>1.7119402135442043E-4</v>
      </c>
      <c r="J575">
        <v>140246.16429656479</v>
      </c>
      <c r="L575">
        <v>3.6399999999999446</v>
      </c>
      <c r="N575">
        <v>-2.1609962247109205E-3</v>
      </c>
      <c r="P575">
        <v>0.19695387205968601</v>
      </c>
      <c r="R575">
        <v>12.349810075336347</v>
      </c>
    </row>
    <row r="576" spans="1:18" x14ac:dyDescent="0.3">
      <c r="A576">
        <v>3.6349999999999447</v>
      </c>
      <c r="B576">
        <v>4.4000000000000002E-6</v>
      </c>
      <c r="D576">
        <v>70.076263281098662</v>
      </c>
      <c r="F576">
        <v>5.8200822436420166E-4</v>
      </c>
      <c r="H576">
        <v>1.7119402135442043E-4</v>
      </c>
      <c r="J576">
        <v>140246.16429656479</v>
      </c>
      <c r="L576">
        <v>3.6349999999999447</v>
      </c>
      <c r="N576">
        <v>-2.1580861835890997E-3</v>
      </c>
      <c r="P576">
        <v>0.19670496062681281</v>
      </c>
      <c r="R576">
        <v>12.349810075336347</v>
      </c>
    </row>
    <row r="577" spans="1:18" x14ac:dyDescent="0.3">
      <c r="A577">
        <v>3.6299999999999448</v>
      </c>
      <c r="B577">
        <v>4.4000000000000002E-6</v>
      </c>
      <c r="D577">
        <v>70.076263281098662</v>
      </c>
      <c r="F577">
        <v>5.8200822436420166E-4</v>
      </c>
      <c r="H577">
        <v>1.7119402135442043E-4</v>
      </c>
      <c r="J577">
        <v>140246.16429656479</v>
      </c>
      <c r="L577">
        <v>3.6299999999999448</v>
      </c>
      <c r="N577">
        <v>-2.1551761424672788E-3</v>
      </c>
      <c r="P577">
        <v>0.19645602180189445</v>
      </c>
      <c r="R577">
        <v>12.349810075336347</v>
      </c>
    </row>
    <row r="578" spans="1:18" x14ac:dyDescent="0.3">
      <c r="A578">
        <v>3.6249999999999449</v>
      </c>
      <c r="B578">
        <v>4.4000000000000002E-6</v>
      </c>
      <c r="D578">
        <v>70.076263281098662</v>
      </c>
      <c r="F578">
        <v>5.8200822436420166E-4</v>
      </c>
      <c r="H578">
        <v>1.7119402135442043E-4</v>
      </c>
      <c r="J578">
        <v>140246.16429656479</v>
      </c>
      <c r="L578">
        <v>3.6249999999999449</v>
      </c>
      <c r="N578">
        <v>-2.152266101345458E-3</v>
      </c>
      <c r="P578">
        <v>0.19620705554418014</v>
      </c>
      <c r="R578">
        <v>12.349810075336347</v>
      </c>
    </row>
    <row r="579" spans="1:18" x14ac:dyDescent="0.3">
      <c r="A579">
        <v>3.619999999999945</v>
      </c>
      <c r="B579">
        <v>4.4000000000000002E-6</v>
      </c>
      <c r="D579">
        <v>70.076263281098662</v>
      </c>
      <c r="F579">
        <v>5.8200822436420166E-4</v>
      </c>
      <c r="H579">
        <v>1.7119402135442043E-4</v>
      </c>
      <c r="J579">
        <v>140246.16429656479</v>
      </c>
      <c r="L579">
        <v>3.619999999999945</v>
      </c>
      <c r="N579">
        <v>-2.1493560602236371E-3</v>
      </c>
      <c r="P579">
        <v>0.19595806181280229</v>
      </c>
      <c r="R579">
        <v>12.349810075336347</v>
      </c>
    </row>
    <row r="580" spans="1:18" x14ac:dyDescent="0.3">
      <c r="A580">
        <v>3.6149999999999451</v>
      </c>
      <c r="B580">
        <v>4.4000000000000002E-6</v>
      </c>
      <c r="D580">
        <v>70.076263281098662</v>
      </c>
      <c r="F580">
        <v>5.8200822436420166E-4</v>
      </c>
      <c r="H580">
        <v>1.7119402135442043E-4</v>
      </c>
      <c r="J580">
        <v>140246.16429656479</v>
      </c>
      <c r="L580">
        <v>3.6149999999999451</v>
      </c>
      <c r="N580">
        <v>-2.1464460191018163E-3</v>
      </c>
      <c r="P580">
        <v>0.19570904056677574</v>
      </c>
      <c r="R580">
        <v>12.349810075336347</v>
      </c>
    </row>
    <row r="581" spans="1:18" x14ac:dyDescent="0.3">
      <c r="A581">
        <v>3.6099999999999453</v>
      </c>
      <c r="B581">
        <v>4.4000000000000002E-6</v>
      </c>
      <c r="D581">
        <v>70.076263281098662</v>
      </c>
      <c r="F581">
        <v>5.8200822436420166E-4</v>
      </c>
      <c r="H581">
        <v>1.7119402135442043E-4</v>
      </c>
      <c r="J581">
        <v>140246.16429656479</v>
      </c>
      <c r="L581">
        <v>3.6099999999999453</v>
      </c>
      <c r="N581">
        <v>-2.1435359779799954E-3</v>
      </c>
      <c r="P581">
        <v>0.19545999176499737</v>
      </c>
      <c r="R581">
        <v>12.349810075336347</v>
      </c>
    </row>
    <row r="582" spans="1:18" x14ac:dyDescent="0.3">
      <c r="A582">
        <v>3.6049999999999454</v>
      </c>
      <c r="B582">
        <v>4.4000000000000002E-6</v>
      </c>
      <c r="D582">
        <v>70.076263281098662</v>
      </c>
      <c r="F582">
        <v>5.8200822436420166E-4</v>
      </c>
      <c r="H582">
        <v>1.7119402135442043E-4</v>
      </c>
      <c r="J582">
        <v>140246.16429656479</v>
      </c>
      <c r="L582">
        <v>3.6049999999999454</v>
      </c>
      <c r="N582">
        <v>-2.1406259368581745E-3</v>
      </c>
      <c r="P582">
        <v>0.19521091536624594</v>
      </c>
      <c r="R582">
        <v>12.349810075336347</v>
      </c>
    </row>
    <row r="583" spans="1:18" x14ac:dyDescent="0.3">
      <c r="A583">
        <v>3.5999999999999455</v>
      </c>
      <c r="B583">
        <v>4.4000000000000002E-6</v>
      </c>
      <c r="D583">
        <v>70.076263281098662</v>
      </c>
      <c r="F583">
        <v>5.8200822436420166E-4</v>
      </c>
      <c r="H583">
        <v>1.7119402135442043E-4</v>
      </c>
      <c r="J583">
        <v>140246.16429656479</v>
      </c>
      <c r="L583">
        <v>3.5999999999999455</v>
      </c>
      <c r="N583">
        <v>-2.1377158957363537E-3</v>
      </c>
      <c r="P583">
        <v>0.19496181132918092</v>
      </c>
      <c r="R583">
        <v>12.349810075336347</v>
      </c>
    </row>
    <row r="584" spans="1:18" x14ac:dyDescent="0.3">
      <c r="A584">
        <v>3.5949999999999456</v>
      </c>
      <c r="B584">
        <v>4.4000000000000002E-6</v>
      </c>
      <c r="D584">
        <v>70.076263281098662</v>
      </c>
      <c r="F584">
        <v>5.8200822436420166E-4</v>
      </c>
      <c r="H584">
        <v>1.7119402135442043E-4</v>
      </c>
      <c r="J584">
        <v>140246.16429656479</v>
      </c>
      <c r="L584">
        <v>3.5949999999999456</v>
      </c>
      <c r="N584">
        <v>-2.1348058546145328E-3</v>
      </c>
      <c r="P584">
        <v>0.19471267961234259</v>
      </c>
      <c r="R584">
        <v>12.349810075336347</v>
      </c>
    </row>
    <row r="585" spans="1:18" x14ac:dyDescent="0.3">
      <c r="A585">
        <v>3.5899999999999457</v>
      </c>
      <c r="B585">
        <v>4.4000000000000002E-6</v>
      </c>
      <c r="D585">
        <v>70.076263281098662</v>
      </c>
      <c r="F585">
        <v>5.8200822436420166E-4</v>
      </c>
      <c r="H585">
        <v>1.7119402135442043E-4</v>
      </c>
      <c r="J585">
        <v>140246.16429656479</v>
      </c>
      <c r="L585">
        <v>3.5899999999999457</v>
      </c>
      <c r="N585">
        <v>-2.131895813492712E-3</v>
      </c>
      <c r="P585">
        <v>0.19446352017415117</v>
      </c>
      <c r="R585">
        <v>12.349810075336347</v>
      </c>
    </row>
    <row r="586" spans="1:18" x14ac:dyDescent="0.3">
      <c r="A586">
        <v>3.5849999999999458</v>
      </c>
      <c r="B586">
        <v>4.4000000000000002E-6</v>
      </c>
      <c r="D586">
        <v>70.076263281098662</v>
      </c>
      <c r="F586">
        <v>5.8200822436420166E-4</v>
      </c>
      <c r="H586">
        <v>1.7119402135442043E-4</v>
      </c>
      <c r="J586">
        <v>140246.16429656479</v>
      </c>
      <c r="L586">
        <v>3.5849999999999458</v>
      </c>
      <c r="N586">
        <v>-2.1289857723708911E-3</v>
      </c>
      <c r="P586">
        <v>0.19421433297290647</v>
      </c>
      <c r="R586">
        <v>12.349810075336347</v>
      </c>
    </row>
    <row r="587" spans="1:18" x14ac:dyDescent="0.3">
      <c r="A587">
        <v>3.5799999999999459</v>
      </c>
      <c r="B587">
        <v>4.4000000000000002E-6</v>
      </c>
      <c r="D587">
        <v>70.076263281098662</v>
      </c>
      <c r="F587">
        <v>5.8200822436420166E-4</v>
      </c>
      <c r="H587">
        <v>1.7119402135442043E-4</v>
      </c>
      <c r="J587">
        <v>140246.16429656479</v>
      </c>
      <c r="L587">
        <v>3.5799999999999459</v>
      </c>
      <c r="N587">
        <v>-2.1260757312490703E-3</v>
      </c>
      <c r="P587">
        <v>0.19396511796678728</v>
      </c>
      <c r="R587">
        <v>12.349810075336347</v>
      </c>
    </row>
    <row r="588" spans="1:18" x14ac:dyDescent="0.3">
      <c r="A588">
        <v>3.574999999999946</v>
      </c>
      <c r="B588">
        <v>4.4000000000000002E-6</v>
      </c>
      <c r="D588">
        <v>70.076263281098662</v>
      </c>
      <c r="F588">
        <v>5.8200822436420166E-4</v>
      </c>
      <c r="H588">
        <v>1.7119402135442043E-4</v>
      </c>
      <c r="J588">
        <v>140246.16429656479</v>
      </c>
      <c r="L588">
        <v>3.574999999999946</v>
      </c>
      <c r="N588">
        <v>-2.1231656901272494E-3</v>
      </c>
      <c r="P588">
        <v>0.19371587511385094</v>
      </c>
      <c r="R588">
        <v>12.349810075336347</v>
      </c>
    </row>
    <row r="589" spans="1:18" x14ac:dyDescent="0.3">
      <c r="A589">
        <v>3.5699999999999461</v>
      </c>
      <c r="B589">
        <v>4.4000000000000002E-6</v>
      </c>
      <c r="D589">
        <v>70.076263281098662</v>
      </c>
      <c r="F589">
        <v>5.8200822436420166E-4</v>
      </c>
      <c r="H589">
        <v>1.7119402135442043E-4</v>
      </c>
      <c r="J589">
        <v>140246.16429656479</v>
      </c>
      <c r="L589">
        <v>3.5699999999999461</v>
      </c>
      <c r="N589">
        <v>-2.1202556490054285E-3</v>
      </c>
      <c r="P589">
        <v>0.19346660437203275</v>
      </c>
      <c r="R589">
        <v>12.349810075336347</v>
      </c>
    </row>
    <row r="590" spans="1:18" x14ac:dyDescent="0.3">
      <c r="A590">
        <v>3.5649999999999462</v>
      </c>
      <c r="B590">
        <v>4.4000000000000002E-6</v>
      </c>
      <c r="D590">
        <v>70.076263281098662</v>
      </c>
      <c r="F590">
        <v>5.8200822436420166E-4</v>
      </c>
      <c r="H590">
        <v>1.7119402135442043E-4</v>
      </c>
      <c r="J590">
        <v>140246.16429656479</v>
      </c>
      <c r="L590">
        <v>3.5649999999999462</v>
      </c>
      <c r="N590">
        <v>-2.1173456078836077E-3</v>
      </c>
      <c r="P590">
        <v>0.19321730569914541</v>
      </c>
      <c r="R590">
        <v>12.349810075336347</v>
      </c>
    </row>
    <row r="591" spans="1:18" x14ac:dyDescent="0.3">
      <c r="A591">
        <v>3.5599999999999463</v>
      </c>
      <c r="B591">
        <v>4.4000000000000002E-6</v>
      </c>
      <c r="D591">
        <v>70.076263281098662</v>
      </c>
      <c r="F591">
        <v>5.8200822436420166E-4</v>
      </c>
      <c r="H591">
        <v>1.7119402135442043E-4</v>
      </c>
      <c r="J591">
        <v>140246.16429656479</v>
      </c>
      <c r="L591">
        <v>3.5599999999999463</v>
      </c>
      <c r="N591">
        <v>-2.1144355667617868E-3</v>
      </c>
      <c r="P591">
        <v>0.19296797905287869</v>
      </c>
      <c r="R591">
        <v>12.349810075336347</v>
      </c>
    </row>
    <row r="592" spans="1:18" x14ac:dyDescent="0.3">
      <c r="A592">
        <v>3.5549999999999464</v>
      </c>
      <c r="B592">
        <v>4.4000000000000002E-6</v>
      </c>
      <c r="D592">
        <v>70.076263281098662</v>
      </c>
      <c r="F592">
        <v>5.8200822436420166E-4</v>
      </c>
      <c r="H592">
        <v>1.7119402135442043E-4</v>
      </c>
      <c r="J592">
        <v>140246.16429656479</v>
      </c>
      <c r="L592">
        <v>3.5549999999999464</v>
      </c>
      <c r="N592">
        <v>-2.111525525639966E-3</v>
      </c>
      <c r="P592">
        <v>0.19271862439079854</v>
      </c>
      <c r="R592">
        <v>12.349810075336347</v>
      </c>
    </row>
    <row r="593" spans="1:18" x14ac:dyDescent="0.3">
      <c r="A593">
        <v>3.5499999999999465</v>
      </c>
      <c r="B593">
        <v>4.4000000000000002E-6</v>
      </c>
      <c r="D593">
        <v>70.076263281098662</v>
      </c>
      <c r="F593">
        <v>5.8200822436420166E-4</v>
      </c>
      <c r="H593">
        <v>1.7119402135442043E-4</v>
      </c>
      <c r="J593">
        <v>140246.16429656479</v>
      </c>
      <c r="L593">
        <v>3.5499999999999465</v>
      </c>
      <c r="N593">
        <v>-2.1086154845181451E-3</v>
      </c>
      <c r="P593">
        <v>0.19246924167034693</v>
      </c>
      <c r="R593">
        <v>12.349810075336347</v>
      </c>
    </row>
    <row r="594" spans="1:18" x14ac:dyDescent="0.3">
      <c r="A594">
        <v>3.5449999999999466</v>
      </c>
      <c r="B594">
        <v>4.4000000000000002E-6</v>
      </c>
      <c r="D594">
        <v>70.076263281098662</v>
      </c>
      <c r="F594">
        <v>5.8200822436420166E-4</v>
      </c>
      <c r="H594">
        <v>1.7119402135442043E-4</v>
      </c>
      <c r="J594">
        <v>140246.16429656479</v>
      </c>
      <c r="L594">
        <v>3.5449999999999466</v>
      </c>
      <c r="N594">
        <v>-2.1057054433963242E-3</v>
      </c>
      <c r="P594">
        <v>0.19221983084884106</v>
      </c>
      <c r="R594">
        <v>12.349810075336347</v>
      </c>
    </row>
    <row r="595" spans="1:18" x14ac:dyDescent="0.3">
      <c r="A595">
        <v>3.5399999999999467</v>
      </c>
      <c r="B595">
        <v>4.4000000000000002E-6</v>
      </c>
      <c r="D595">
        <v>70.076263281098662</v>
      </c>
      <c r="F595">
        <v>5.8200822436420166E-4</v>
      </c>
      <c r="H595">
        <v>1.7119402135442043E-4</v>
      </c>
      <c r="J595">
        <v>140246.16429656479</v>
      </c>
      <c r="L595">
        <v>3.5399999999999467</v>
      </c>
      <c r="N595">
        <v>-2.1027954022745034E-3</v>
      </c>
      <c r="P595">
        <v>0.19197039188347292</v>
      </c>
      <c r="R595">
        <v>12.349810075336347</v>
      </c>
    </row>
    <row r="596" spans="1:18" x14ac:dyDescent="0.3">
      <c r="A596">
        <v>3.5349999999999469</v>
      </c>
      <c r="B596">
        <v>4.4000000000000002E-6</v>
      </c>
      <c r="D596">
        <v>70.076263281098662</v>
      </c>
      <c r="F596">
        <v>5.8200822436420166E-4</v>
      </c>
      <c r="H596">
        <v>1.7119402135442043E-4</v>
      </c>
      <c r="J596">
        <v>140246.16429656479</v>
      </c>
      <c r="L596">
        <v>3.5349999999999469</v>
      </c>
      <c r="N596">
        <v>-2.0998853611526825E-3</v>
      </c>
      <c r="P596">
        <v>0.19172092473130881</v>
      </c>
      <c r="R596">
        <v>12.349810075336347</v>
      </c>
    </row>
    <row r="597" spans="1:18" x14ac:dyDescent="0.3">
      <c r="A597">
        <v>3.529999999999947</v>
      </c>
      <c r="B597">
        <v>4.4000000000000002E-6</v>
      </c>
      <c r="D597">
        <v>70.076263281098662</v>
      </c>
      <c r="F597">
        <v>5.8200822436420166E-4</v>
      </c>
      <c r="H597">
        <v>1.7119402135442043E-4</v>
      </c>
      <c r="J597">
        <v>140246.16429656479</v>
      </c>
      <c r="L597">
        <v>3.529999999999947</v>
      </c>
      <c r="N597">
        <v>-2.0969753200308617E-3</v>
      </c>
      <c r="P597">
        <v>0.19147142934928857</v>
      </c>
      <c r="R597">
        <v>12.349810075336347</v>
      </c>
    </row>
    <row r="598" spans="1:18" x14ac:dyDescent="0.3">
      <c r="A598">
        <v>3.5249999999999471</v>
      </c>
      <c r="B598">
        <v>4.4000000000000002E-6</v>
      </c>
      <c r="D598">
        <v>70.076263281098662</v>
      </c>
      <c r="F598">
        <v>5.8200822436420166E-4</v>
      </c>
      <c r="H598">
        <v>1.7119402135442043E-4</v>
      </c>
      <c r="J598">
        <v>140246.16429656479</v>
      </c>
      <c r="L598">
        <v>3.5249999999999471</v>
      </c>
      <c r="N598">
        <v>-2.0940652789090408E-3</v>
      </c>
      <c r="P598">
        <v>0.19122190569422523</v>
      </c>
      <c r="R598">
        <v>12.349810075336347</v>
      </c>
    </row>
    <row r="599" spans="1:18" x14ac:dyDescent="0.3">
      <c r="A599">
        <v>3.5199999999999472</v>
      </c>
      <c r="B599">
        <v>4.4000000000000002E-6</v>
      </c>
      <c r="D599">
        <v>70.076263281098662</v>
      </c>
      <c r="F599">
        <v>5.8200822436420166E-4</v>
      </c>
      <c r="H599">
        <v>1.7119402135442043E-4</v>
      </c>
      <c r="J599">
        <v>140246.16429656479</v>
      </c>
      <c r="L599">
        <v>3.5199999999999472</v>
      </c>
      <c r="N599">
        <v>-2.09115523778722E-3</v>
      </c>
      <c r="P599">
        <v>0.19097235372280449</v>
      </c>
      <c r="R599">
        <v>12.349810075336347</v>
      </c>
    </row>
    <row r="600" spans="1:18" x14ac:dyDescent="0.3">
      <c r="A600">
        <v>3.5149999999999473</v>
      </c>
      <c r="B600">
        <v>4.4000000000000002E-6</v>
      </c>
      <c r="D600">
        <v>70.076263281098662</v>
      </c>
      <c r="F600">
        <v>5.8200822436420166E-4</v>
      </c>
      <c r="H600">
        <v>1.7119402135442043E-4</v>
      </c>
      <c r="J600">
        <v>140246.16429656479</v>
      </c>
      <c r="L600">
        <v>3.5149999999999473</v>
      </c>
      <c r="N600">
        <v>-2.0882451966653991E-3</v>
      </c>
      <c r="P600">
        <v>0.19072277339158392</v>
      </c>
      <c r="R600">
        <v>12.349810075336347</v>
      </c>
    </row>
    <row r="601" spans="1:18" x14ac:dyDescent="0.3">
      <c r="A601">
        <v>3.5099999999999474</v>
      </c>
      <c r="B601">
        <v>4.4000000000000002E-6</v>
      </c>
      <c r="D601">
        <v>70.076263281098662</v>
      </c>
      <c r="F601">
        <v>5.8200822436420166E-4</v>
      </c>
      <c r="H601">
        <v>1.7119402135442043E-4</v>
      </c>
      <c r="J601">
        <v>140246.16429656479</v>
      </c>
      <c r="L601">
        <v>3.5099999999999474</v>
      </c>
      <c r="N601">
        <v>-2.0853351555435782E-3</v>
      </c>
      <c r="P601">
        <v>0.19047316465699266</v>
      </c>
      <c r="R601">
        <v>12.349810075336345</v>
      </c>
    </row>
    <row r="602" spans="1:18" x14ac:dyDescent="0.3">
      <c r="A602">
        <v>3.5049999999999475</v>
      </c>
      <c r="B602">
        <v>4.4000000000000002E-6</v>
      </c>
      <c r="D602">
        <v>70.076263281098662</v>
      </c>
      <c r="F602">
        <v>5.8200822436420166E-4</v>
      </c>
      <c r="H602">
        <v>1.7119402135442043E-4</v>
      </c>
      <c r="J602">
        <v>140246.16429656479</v>
      </c>
      <c r="L602">
        <v>3.5049999999999475</v>
      </c>
      <c r="N602">
        <v>-2.0824251144217574E-3</v>
      </c>
      <c r="P602">
        <v>0.19022352747533064</v>
      </c>
      <c r="R602">
        <v>12.349810075336343</v>
      </c>
    </row>
    <row r="603" spans="1:18" x14ac:dyDescent="0.3">
      <c r="A603">
        <v>3.4999999999999476</v>
      </c>
      <c r="B603">
        <v>4.4000000000000002E-6</v>
      </c>
      <c r="D603">
        <v>70.076263281098662</v>
      </c>
      <c r="F603">
        <v>5.8200822436420166E-4</v>
      </c>
      <c r="H603">
        <v>1.7119402135442043E-4</v>
      </c>
      <c r="J603">
        <v>140246.16429656479</v>
      </c>
      <c r="L603">
        <v>3.4999999999999476</v>
      </c>
      <c r="N603">
        <v>-2.0795150732999365E-3</v>
      </c>
      <c r="P603">
        <v>0.18997386180276821</v>
      </c>
      <c r="R603">
        <v>12.349810075336341</v>
      </c>
    </row>
    <row r="604" spans="1:18" x14ac:dyDescent="0.3">
      <c r="A604">
        <v>3.4949999999999477</v>
      </c>
      <c r="B604">
        <v>4.4000000000000002E-6</v>
      </c>
      <c r="D604">
        <v>70.076263281098662</v>
      </c>
      <c r="F604">
        <v>5.8200822436420166E-4</v>
      </c>
      <c r="H604">
        <v>1.7119402135442043E-4</v>
      </c>
      <c r="J604">
        <v>140246.16429656479</v>
      </c>
      <c r="L604">
        <v>3.4949999999999477</v>
      </c>
      <c r="N604">
        <v>-2.0766050321781157E-3</v>
      </c>
      <c r="P604">
        <v>0.18972416759534541</v>
      </c>
      <c r="R604">
        <v>12.34981007533634</v>
      </c>
    </row>
    <row r="605" spans="1:18" x14ac:dyDescent="0.3">
      <c r="A605">
        <v>3.4899999999999478</v>
      </c>
      <c r="B605">
        <v>4.4000000000000002E-6</v>
      </c>
      <c r="D605">
        <v>70.076263281098662</v>
      </c>
      <c r="F605">
        <v>5.8200822436420166E-4</v>
      </c>
      <c r="H605">
        <v>1.7119402135442043E-4</v>
      </c>
      <c r="J605">
        <v>140246.16429656479</v>
      </c>
      <c r="L605">
        <v>3.4899999999999478</v>
      </c>
      <c r="N605">
        <v>-2.0736949910562948E-3</v>
      </c>
      <c r="P605">
        <v>0.18947444480897155</v>
      </c>
      <c r="R605">
        <v>12.349810075336338</v>
      </c>
    </row>
    <row r="606" spans="1:18" x14ac:dyDescent="0.3">
      <c r="A606">
        <v>3.4849999999999479</v>
      </c>
      <c r="B606">
        <v>4.4000000000000002E-6</v>
      </c>
      <c r="D606">
        <v>70.076263281098662</v>
      </c>
      <c r="F606">
        <v>5.8200822436420166E-4</v>
      </c>
      <c r="H606">
        <v>1.7119402135442043E-4</v>
      </c>
      <c r="J606">
        <v>140246.16429656479</v>
      </c>
      <c r="L606">
        <v>3.4849999999999479</v>
      </c>
      <c r="N606">
        <v>-2.070784949934474E-3</v>
      </c>
      <c r="P606">
        <v>0.18922469339942444</v>
      </c>
      <c r="R606">
        <v>12.349810075336336</v>
      </c>
    </row>
    <row r="607" spans="1:18" x14ac:dyDescent="0.3">
      <c r="A607">
        <v>3.479999999999948</v>
      </c>
      <c r="B607">
        <v>4.4000000000000002E-6</v>
      </c>
      <c r="D607">
        <v>70.076263281098662</v>
      </c>
      <c r="F607">
        <v>5.8200822436420166E-4</v>
      </c>
      <c r="H607">
        <v>1.7119402135442043E-4</v>
      </c>
      <c r="J607">
        <v>140246.16429656479</v>
      </c>
      <c r="L607">
        <v>3.479999999999948</v>
      </c>
      <c r="N607">
        <v>-2.0678749088126531E-3</v>
      </c>
      <c r="P607">
        <v>0.18897491332234997</v>
      </c>
      <c r="R607">
        <v>12.349810075336334</v>
      </c>
    </row>
    <row r="608" spans="1:18" x14ac:dyDescent="0.3">
      <c r="A608">
        <v>3.4749999999999481</v>
      </c>
      <c r="B608">
        <v>4.4000000000000002E-6</v>
      </c>
      <c r="D608">
        <v>70.076263281098662</v>
      </c>
      <c r="F608">
        <v>5.8200822436420166E-4</v>
      </c>
      <c r="H608">
        <v>1.7119402135442043E-4</v>
      </c>
      <c r="J608">
        <v>140246.16429656479</v>
      </c>
      <c r="L608">
        <v>3.4749999999999481</v>
      </c>
      <c r="N608">
        <v>-2.0649648676908322E-3</v>
      </c>
      <c r="P608">
        <v>0.18872510453326147</v>
      </c>
      <c r="R608">
        <v>12.349810075336332</v>
      </c>
    </row>
    <row r="609" spans="1:18" x14ac:dyDescent="0.3">
      <c r="A609">
        <v>3.4699999999999482</v>
      </c>
      <c r="B609">
        <v>4.4000000000000002E-6</v>
      </c>
      <c r="D609">
        <v>70.076263281098662</v>
      </c>
      <c r="F609">
        <v>5.8200822436420166E-4</v>
      </c>
      <c r="H609">
        <v>1.7119402135442043E-4</v>
      </c>
      <c r="J609">
        <v>140246.16429656479</v>
      </c>
      <c r="L609">
        <v>3.4699999999999482</v>
      </c>
      <c r="N609">
        <v>-2.0620548265690114E-3</v>
      </c>
      <c r="P609">
        <v>0.18847526698753905</v>
      </c>
      <c r="R609">
        <v>12.349810075336331</v>
      </c>
    </row>
    <row r="610" spans="1:18" x14ac:dyDescent="0.3">
      <c r="A610">
        <v>3.4649999999999483</v>
      </c>
      <c r="B610">
        <v>4.4000000000000002E-6</v>
      </c>
      <c r="D610">
        <v>70.076263281098662</v>
      </c>
      <c r="F610">
        <v>5.8200822436420166E-4</v>
      </c>
      <c r="H610">
        <v>1.7119402135442043E-4</v>
      </c>
      <c r="J610">
        <v>140246.16429656479</v>
      </c>
      <c r="L610">
        <v>3.4649999999999483</v>
      </c>
      <c r="N610">
        <v>-2.0591447854471905E-3</v>
      </c>
      <c r="P610">
        <v>0.1882254006404292</v>
      </c>
      <c r="R610">
        <v>12.349810075336327</v>
      </c>
    </row>
    <row r="611" spans="1:18" x14ac:dyDescent="0.3">
      <c r="A611">
        <v>3.4599999999999485</v>
      </c>
      <c r="B611">
        <v>4.4000000000000002E-6</v>
      </c>
      <c r="D611">
        <v>70.076263281098662</v>
      </c>
      <c r="F611">
        <v>5.8200822436420166E-4</v>
      </c>
      <c r="H611">
        <v>1.7119402135442043E-4</v>
      </c>
      <c r="J611">
        <v>140246.16429656479</v>
      </c>
      <c r="L611">
        <v>3.4599999999999485</v>
      </c>
      <c r="N611">
        <v>-2.0562347443253697E-3</v>
      </c>
      <c r="P611">
        <v>0.18797550544704406</v>
      </c>
      <c r="R611">
        <v>12.349810075336324</v>
      </c>
    </row>
    <row r="612" spans="1:18" x14ac:dyDescent="0.3">
      <c r="A612">
        <v>3.4549999999999486</v>
      </c>
      <c r="B612">
        <v>4.4000000000000002E-6</v>
      </c>
      <c r="D612">
        <v>70.076263281098662</v>
      </c>
      <c r="F612">
        <v>5.8200822436420166E-4</v>
      </c>
      <c r="H612">
        <v>1.7119402135442043E-4</v>
      </c>
      <c r="J612">
        <v>140246.16429656479</v>
      </c>
      <c r="L612">
        <v>3.4549999999999486</v>
      </c>
      <c r="N612">
        <v>-2.0533247032035488E-3</v>
      </c>
      <c r="P612">
        <v>0.18772558136236067</v>
      </c>
      <c r="R612">
        <v>12.34981007533632</v>
      </c>
    </row>
    <row r="613" spans="1:18" x14ac:dyDescent="0.3">
      <c r="A613">
        <v>3.4499999999999487</v>
      </c>
      <c r="B613">
        <v>4.4000000000000002E-6</v>
      </c>
      <c r="D613">
        <v>70.076263281098662</v>
      </c>
      <c r="F613">
        <v>5.8200822436420166E-4</v>
      </c>
      <c r="H613">
        <v>1.7119402135442043E-4</v>
      </c>
      <c r="J613">
        <v>140246.16429656479</v>
      </c>
      <c r="L613">
        <v>3.4499999999999487</v>
      </c>
      <c r="N613">
        <v>-2.050414662081728E-3</v>
      </c>
      <c r="P613">
        <v>0.18747562834122078</v>
      </c>
      <c r="R613">
        <v>12.349810075336316</v>
      </c>
    </row>
    <row r="614" spans="1:18" x14ac:dyDescent="0.3">
      <c r="A614">
        <v>3.4449999999999488</v>
      </c>
      <c r="B614">
        <v>4.4000000000000002E-6</v>
      </c>
      <c r="D614">
        <v>70.076263281098662</v>
      </c>
      <c r="F614">
        <v>5.8200822436420166E-4</v>
      </c>
      <c r="H614">
        <v>1.7119402135442043E-4</v>
      </c>
      <c r="J614">
        <v>140246.16429656479</v>
      </c>
      <c r="L614">
        <v>3.4449999999999488</v>
      </c>
      <c r="N614">
        <v>-2.0475046209599071E-3</v>
      </c>
      <c r="P614">
        <v>0.18722564633832986</v>
      </c>
      <c r="R614">
        <v>12.349810075336311</v>
      </c>
    </row>
    <row r="615" spans="1:18" x14ac:dyDescent="0.3">
      <c r="A615">
        <v>3.4399999999999489</v>
      </c>
      <c r="B615">
        <v>4.4000000000000002E-6</v>
      </c>
      <c r="D615">
        <v>70.076263281098662</v>
      </c>
      <c r="F615">
        <v>5.8200822436420166E-4</v>
      </c>
      <c r="H615">
        <v>1.7119402135442043E-4</v>
      </c>
      <c r="J615">
        <v>140246.16429656479</v>
      </c>
      <c r="L615">
        <v>3.4399999999999489</v>
      </c>
      <c r="N615">
        <v>-2.0445945798380862E-3</v>
      </c>
      <c r="P615">
        <v>0.18697563530825662</v>
      </c>
      <c r="R615">
        <v>12.349810075336306</v>
      </c>
    </row>
    <row r="616" spans="1:18" x14ac:dyDescent="0.3">
      <c r="A616">
        <v>3.434999999999949</v>
      </c>
      <c r="B616">
        <v>4.4000000000000002E-6</v>
      </c>
      <c r="D616">
        <v>70.076263281098662</v>
      </c>
      <c r="F616">
        <v>5.8200822436420166E-4</v>
      </c>
      <c r="H616">
        <v>1.7119402135442043E-4</v>
      </c>
      <c r="J616">
        <v>140246.16429656479</v>
      </c>
      <c r="L616">
        <v>3.434999999999949</v>
      </c>
      <c r="N616">
        <v>-2.0416845387162654E-3</v>
      </c>
      <c r="P616">
        <v>0.1867255952054325</v>
      </c>
      <c r="R616">
        <v>12.349810075336299</v>
      </c>
    </row>
    <row r="617" spans="1:18" x14ac:dyDescent="0.3">
      <c r="A617">
        <v>3.4299999999999491</v>
      </c>
      <c r="B617">
        <v>4.4000000000000002E-6</v>
      </c>
      <c r="D617">
        <v>70.076263281098662</v>
      </c>
      <c r="F617">
        <v>5.8200822436420166E-4</v>
      </c>
      <c r="H617">
        <v>1.7119402135442043E-4</v>
      </c>
      <c r="J617">
        <v>140246.16429656479</v>
      </c>
      <c r="L617">
        <v>3.4299999999999491</v>
      </c>
      <c r="N617">
        <v>-2.0387744975944445E-3</v>
      </c>
      <c r="P617">
        <v>0.18647552598415085</v>
      </c>
      <c r="R617">
        <v>12.349810075336292</v>
      </c>
    </row>
    <row r="618" spans="1:18" x14ac:dyDescent="0.3">
      <c r="A618">
        <v>3.4249999999999492</v>
      </c>
      <c r="B618">
        <v>4.4000000000000002E-6</v>
      </c>
      <c r="D618">
        <v>70.076263281098662</v>
      </c>
      <c r="F618">
        <v>5.8200822436420166E-4</v>
      </c>
      <c r="H618">
        <v>1.7119402135442043E-4</v>
      </c>
      <c r="J618">
        <v>140246.16429656479</v>
      </c>
      <c r="L618">
        <v>3.4249999999999492</v>
      </c>
      <c r="N618">
        <v>-2.0358644564726237E-3</v>
      </c>
      <c r="P618">
        <v>0.18622542759856656</v>
      </c>
      <c r="R618">
        <v>12.349810075336283</v>
      </c>
    </row>
    <row r="619" spans="1:18" x14ac:dyDescent="0.3">
      <c r="A619">
        <v>3.4199999999999493</v>
      </c>
      <c r="B619">
        <v>4.4000000000000002E-6</v>
      </c>
      <c r="D619">
        <v>70.076263281098662</v>
      </c>
      <c r="F619">
        <v>5.8200822436420166E-4</v>
      </c>
      <c r="H619">
        <v>1.7119402135442043E-4</v>
      </c>
      <c r="J619">
        <v>140246.16429656479</v>
      </c>
      <c r="L619">
        <v>3.4199999999999493</v>
      </c>
      <c r="N619">
        <v>-2.0329544153508028E-3</v>
      </c>
      <c r="P619">
        <v>0.1859753000026953</v>
      </c>
      <c r="R619">
        <v>12.349810075336274</v>
      </c>
    </row>
    <row r="620" spans="1:18" x14ac:dyDescent="0.3">
      <c r="A620">
        <v>3.4149999999999494</v>
      </c>
      <c r="B620">
        <v>4.4000000000000002E-6</v>
      </c>
      <c r="D620">
        <v>70.076263281098662</v>
      </c>
      <c r="F620">
        <v>5.8200822436420166E-4</v>
      </c>
      <c r="H620">
        <v>1.7119402135442043E-4</v>
      </c>
      <c r="J620">
        <v>140246.16429656479</v>
      </c>
      <c r="L620">
        <v>3.4149999999999494</v>
      </c>
      <c r="N620">
        <v>-2.030044374228982E-3</v>
      </c>
      <c r="P620">
        <v>0.18572514315041269</v>
      </c>
      <c r="R620">
        <v>12.349810075336263</v>
      </c>
    </row>
    <row r="621" spans="1:18" x14ac:dyDescent="0.3">
      <c r="A621">
        <v>3.4099999999999495</v>
      </c>
      <c r="B621">
        <v>4.4000000000000002E-6</v>
      </c>
      <c r="D621">
        <v>70.076263281098662</v>
      </c>
      <c r="F621">
        <v>5.8200822436420166E-4</v>
      </c>
      <c r="H621">
        <v>1.7119402135442043E-4</v>
      </c>
      <c r="J621">
        <v>140246.16429656479</v>
      </c>
      <c r="L621">
        <v>3.4099999999999495</v>
      </c>
      <c r="N621">
        <v>-2.0271343331071611E-3</v>
      </c>
      <c r="P621">
        <v>0.18547495699545416</v>
      </c>
      <c r="R621">
        <v>12.349810075336251</v>
      </c>
    </row>
    <row r="622" spans="1:18" x14ac:dyDescent="0.3">
      <c r="A622">
        <v>3.4049999999999496</v>
      </c>
      <c r="B622">
        <v>4.4000000000000002E-6</v>
      </c>
      <c r="D622">
        <v>70.076263281098662</v>
      </c>
      <c r="F622">
        <v>5.8200822436420166E-4</v>
      </c>
      <c r="H622">
        <v>1.7119402135442043E-4</v>
      </c>
      <c r="J622">
        <v>140246.16429656479</v>
      </c>
      <c r="L622">
        <v>3.4049999999999496</v>
      </c>
      <c r="N622">
        <v>-2.0242242919853402E-3</v>
      </c>
      <c r="P622">
        <v>0.18522474149141371</v>
      </c>
      <c r="R622">
        <v>12.349810075336237</v>
      </c>
    </row>
    <row r="623" spans="1:18" x14ac:dyDescent="0.3">
      <c r="A623">
        <v>3.3999999999999497</v>
      </c>
      <c r="B623">
        <v>4.4000000000000002E-6</v>
      </c>
      <c r="D623">
        <v>70.076263281098662</v>
      </c>
      <c r="F623">
        <v>5.8200822436420166E-4</v>
      </c>
      <c r="H623">
        <v>1.7119402135442043E-4</v>
      </c>
      <c r="J623">
        <v>140246.16429656479</v>
      </c>
      <c r="L623">
        <v>3.3999999999999497</v>
      </c>
      <c r="N623">
        <v>-2.0213142508635194E-3</v>
      </c>
      <c r="P623">
        <v>0.18497449659174392</v>
      </c>
      <c r="R623">
        <v>12.349810075336221</v>
      </c>
    </row>
    <row r="624" spans="1:18" x14ac:dyDescent="0.3">
      <c r="A624">
        <v>3.3949999999999498</v>
      </c>
      <c r="B624">
        <v>4.4000000000000002E-6</v>
      </c>
      <c r="D624">
        <v>70.076263281098662</v>
      </c>
      <c r="F624">
        <v>5.8200822436420166E-4</v>
      </c>
      <c r="H624">
        <v>1.7119402135442043E-4</v>
      </c>
      <c r="J624">
        <v>140246.16429656479</v>
      </c>
      <c r="L624">
        <v>3.3949999999999498</v>
      </c>
      <c r="N624">
        <v>-2.0184042097416985E-3</v>
      </c>
      <c r="P624">
        <v>0.18472422224975485</v>
      </c>
      <c r="R624">
        <v>12.349810075336203</v>
      </c>
    </row>
    <row r="625" spans="1:18" x14ac:dyDescent="0.3">
      <c r="A625">
        <v>3.3899999999999499</v>
      </c>
      <c r="B625">
        <v>4.4000000000000002E-6</v>
      </c>
      <c r="D625">
        <v>70.076263281098662</v>
      </c>
      <c r="F625">
        <v>5.8200822436420166E-4</v>
      </c>
      <c r="H625">
        <v>1.7119402135442043E-4</v>
      </c>
      <c r="J625">
        <v>140246.16429656479</v>
      </c>
      <c r="L625">
        <v>3.3899999999999499</v>
      </c>
      <c r="N625">
        <v>-2.0154941686198777E-3</v>
      </c>
      <c r="P625">
        <v>0.18447391841861338</v>
      </c>
      <c r="R625">
        <v>12.349810075336181</v>
      </c>
    </row>
    <row r="626" spans="1:18" x14ac:dyDescent="0.3">
      <c r="A626">
        <v>3.38499999999995</v>
      </c>
      <c r="B626">
        <v>4.4000000000000002E-6</v>
      </c>
      <c r="D626">
        <v>70.076263281098662</v>
      </c>
      <c r="F626">
        <v>5.8200822436420166E-4</v>
      </c>
      <c r="H626">
        <v>1.7119402135442043E-4</v>
      </c>
      <c r="J626">
        <v>140246.16429656479</v>
      </c>
      <c r="L626">
        <v>3.38499999999995</v>
      </c>
      <c r="N626">
        <v>-2.0125841274980568E-3</v>
      </c>
      <c r="P626">
        <v>0.18422358505134295</v>
      </c>
      <c r="R626">
        <v>12.349810075336158</v>
      </c>
    </row>
    <row r="627" spans="1:18" x14ac:dyDescent="0.3">
      <c r="A627">
        <v>3.3799999999999502</v>
      </c>
      <c r="B627">
        <v>4.4000000000000002E-6</v>
      </c>
      <c r="D627">
        <v>70.076263281098662</v>
      </c>
      <c r="F627">
        <v>5.8200822436420166E-4</v>
      </c>
      <c r="H627">
        <v>1.7119402135442043E-4</v>
      </c>
      <c r="J627">
        <v>140246.16429656479</v>
      </c>
      <c r="L627">
        <v>3.3799999999999502</v>
      </c>
      <c r="N627">
        <v>-2.0096740863762359E-3</v>
      </c>
      <c r="P627">
        <v>0.18397322210082251</v>
      </c>
      <c r="R627">
        <v>12.349810075336132</v>
      </c>
    </row>
    <row r="628" spans="1:18" x14ac:dyDescent="0.3">
      <c r="A628">
        <v>3.3749999999999503</v>
      </c>
      <c r="B628">
        <v>4.4000000000000002E-6</v>
      </c>
      <c r="D628">
        <v>70.076263281098662</v>
      </c>
      <c r="F628">
        <v>5.8200822436420166E-4</v>
      </c>
      <c r="H628">
        <v>1.7119402135442043E-4</v>
      </c>
      <c r="J628">
        <v>140246.16429656479</v>
      </c>
      <c r="L628">
        <v>3.3749999999999503</v>
      </c>
      <c r="N628">
        <v>-2.0067640452544151E-3</v>
      </c>
      <c r="P628">
        <v>0.183722829519786</v>
      </c>
      <c r="R628">
        <v>12.349810075336102</v>
      </c>
    </row>
    <row r="629" spans="1:18" x14ac:dyDescent="0.3">
      <c r="A629">
        <v>3.3699999999999504</v>
      </c>
      <c r="B629">
        <v>4.4000000000000002E-6</v>
      </c>
      <c r="D629">
        <v>70.076263281098662</v>
      </c>
      <c r="F629">
        <v>5.8200822436420166E-4</v>
      </c>
      <c r="H629">
        <v>1.7119402135442043E-4</v>
      </c>
      <c r="J629">
        <v>140246.16429656479</v>
      </c>
      <c r="L629">
        <v>3.3699999999999504</v>
      </c>
      <c r="N629">
        <v>-2.0038540041325942E-3</v>
      </c>
      <c r="P629">
        <v>0.18347240726082178</v>
      </c>
      <c r="R629">
        <v>12.349810075336066</v>
      </c>
    </row>
    <row r="630" spans="1:18" x14ac:dyDescent="0.3">
      <c r="A630">
        <v>3.3649999999999505</v>
      </c>
      <c r="B630">
        <v>4.4000000000000002E-6</v>
      </c>
      <c r="D630">
        <v>70.076263281098662</v>
      </c>
      <c r="F630">
        <v>5.8200822436420166E-4</v>
      </c>
      <c r="H630">
        <v>1.7119402135442043E-4</v>
      </c>
      <c r="J630">
        <v>140246.16429656479</v>
      </c>
      <c r="L630">
        <v>3.3649999999999505</v>
      </c>
      <c r="N630">
        <v>-2.0009439630107734E-3</v>
      </c>
      <c r="P630">
        <v>0.18322195527637195</v>
      </c>
      <c r="R630">
        <v>12.349810075336025</v>
      </c>
    </row>
    <row r="631" spans="1:18" x14ac:dyDescent="0.3">
      <c r="A631">
        <v>3.3599999999999506</v>
      </c>
      <c r="B631">
        <v>4.4000000000000002E-6</v>
      </c>
      <c r="D631">
        <v>70.076263281098662</v>
      </c>
      <c r="F631">
        <v>5.8200822436420166E-4</v>
      </c>
      <c r="H631">
        <v>1.7119402135442043E-4</v>
      </c>
      <c r="J631">
        <v>140246.16429656479</v>
      </c>
      <c r="L631">
        <v>3.3599999999999506</v>
      </c>
      <c r="N631">
        <v>-1.9980339218889525E-3</v>
      </c>
      <c r="P631">
        <v>0.18297147351873136</v>
      </c>
      <c r="R631">
        <v>12.349810075335979</v>
      </c>
    </row>
    <row r="632" spans="1:18" x14ac:dyDescent="0.3">
      <c r="A632">
        <v>3.3549999999999507</v>
      </c>
      <c r="B632">
        <v>4.4000000000000002E-6</v>
      </c>
      <c r="D632">
        <v>70.076263281098662</v>
      </c>
      <c r="F632">
        <v>5.8200822436420166E-4</v>
      </c>
      <c r="H632">
        <v>1.7119402135442043E-4</v>
      </c>
      <c r="J632">
        <v>140246.16429656479</v>
      </c>
      <c r="L632">
        <v>3.3549999999999507</v>
      </c>
      <c r="N632">
        <v>-1.9951238807671317E-3</v>
      </c>
      <c r="P632">
        <v>0.18272096194004744</v>
      </c>
      <c r="R632">
        <v>12.349810075335927</v>
      </c>
    </row>
    <row r="633" spans="1:18" x14ac:dyDescent="0.3">
      <c r="A633">
        <v>3.3499999999999508</v>
      </c>
      <c r="B633">
        <v>4.4000000000000002E-6</v>
      </c>
      <c r="D633">
        <v>70.076263281098662</v>
      </c>
      <c r="F633">
        <v>5.8200822436420166E-4</v>
      </c>
      <c r="H633">
        <v>1.7119402135442043E-4</v>
      </c>
      <c r="J633">
        <v>140246.16429656479</v>
      </c>
      <c r="L633">
        <v>3.3499999999999508</v>
      </c>
      <c r="N633">
        <v>-1.9922138396453108E-3</v>
      </c>
      <c r="P633">
        <v>0.18247042049231924</v>
      </c>
      <c r="R633">
        <v>12.349810075335867</v>
      </c>
    </row>
    <row r="634" spans="1:18" x14ac:dyDescent="0.3">
      <c r="A634">
        <v>3.3449999999999509</v>
      </c>
      <c r="B634">
        <v>4.4000000000000002E-6</v>
      </c>
      <c r="D634">
        <v>70.076263281098662</v>
      </c>
      <c r="F634">
        <v>5.8200822436420166E-4</v>
      </c>
      <c r="H634">
        <v>1.7119402135442043E-4</v>
      </c>
      <c r="J634">
        <v>140246.16429656479</v>
      </c>
      <c r="L634">
        <v>3.3449999999999509</v>
      </c>
      <c r="N634">
        <v>-1.9893037985234899E-3</v>
      </c>
      <c r="P634">
        <v>0.18221984912739661</v>
      </c>
      <c r="R634">
        <v>12.3498100753358</v>
      </c>
    </row>
    <row r="635" spans="1:18" x14ac:dyDescent="0.3">
      <c r="A635">
        <v>3.339999999999951</v>
      </c>
      <c r="B635">
        <v>4.4000000000000002E-6</v>
      </c>
      <c r="D635">
        <v>70.076263281098662</v>
      </c>
      <c r="F635">
        <v>5.8200822436420166E-4</v>
      </c>
      <c r="H635">
        <v>1.7119402135442043E-4</v>
      </c>
      <c r="J635">
        <v>140246.16429656479</v>
      </c>
      <c r="L635">
        <v>3.339999999999951</v>
      </c>
      <c r="N635">
        <v>-1.9863937574016691E-3</v>
      </c>
      <c r="P635">
        <v>0.18196924779697993</v>
      </c>
      <c r="R635">
        <v>12.349810075335721</v>
      </c>
    </row>
    <row r="636" spans="1:18" x14ac:dyDescent="0.3">
      <c r="A636">
        <v>3.3349999999999511</v>
      </c>
      <c r="B636">
        <v>4.4000000000000002E-6</v>
      </c>
      <c r="D636">
        <v>70.076263281098662</v>
      </c>
      <c r="F636">
        <v>5.8200822436420166E-4</v>
      </c>
      <c r="H636">
        <v>1.7119402135442043E-4</v>
      </c>
      <c r="J636">
        <v>140246.16429656479</v>
      </c>
      <c r="L636">
        <v>3.3349999999999511</v>
      </c>
      <c r="N636">
        <v>-1.9834837162798482E-3</v>
      </c>
      <c r="P636">
        <v>0.18171861645261897</v>
      </c>
      <c r="R636">
        <v>12.349810075335633</v>
      </c>
    </row>
    <row r="637" spans="1:18" x14ac:dyDescent="0.3">
      <c r="A637">
        <v>3.3299999999999512</v>
      </c>
      <c r="B637">
        <v>4.4000000000000002E-6</v>
      </c>
      <c r="D637">
        <v>70.076263281098662</v>
      </c>
      <c r="F637">
        <v>5.8200822436420166E-4</v>
      </c>
      <c r="H637">
        <v>1.7119402135442043E-4</v>
      </c>
      <c r="J637">
        <v>140246.16429656479</v>
      </c>
      <c r="L637">
        <v>3.3299999999999512</v>
      </c>
      <c r="N637">
        <v>-1.9805736751580274E-3</v>
      </c>
      <c r="P637">
        <v>0.18146795504571259</v>
      </c>
      <c r="R637">
        <v>12.349810075335531</v>
      </c>
    </row>
    <row r="638" spans="1:18" x14ac:dyDescent="0.3">
      <c r="A638">
        <v>3.3249999999999513</v>
      </c>
      <c r="B638">
        <v>4.4000000000000002E-6</v>
      </c>
      <c r="D638">
        <v>70.076263281098662</v>
      </c>
      <c r="F638">
        <v>5.8200822436420166E-4</v>
      </c>
      <c r="H638">
        <v>1.7119402135442043E-4</v>
      </c>
      <c r="J638">
        <v>140246.16429656479</v>
      </c>
      <c r="L638">
        <v>3.3249999999999513</v>
      </c>
      <c r="N638">
        <v>-1.9776636340362065E-3</v>
      </c>
      <c r="P638">
        <v>0.18121726352750761</v>
      </c>
      <c r="R638">
        <v>12.349810075335416</v>
      </c>
    </row>
    <row r="639" spans="1:18" x14ac:dyDescent="0.3">
      <c r="A639">
        <v>3.3199999999999514</v>
      </c>
      <c r="B639">
        <v>4.4000000000000002E-6</v>
      </c>
      <c r="D639">
        <v>70.076263281098662</v>
      </c>
      <c r="F639">
        <v>5.8200822436420166E-4</v>
      </c>
      <c r="H639">
        <v>1.7119402135442043E-4</v>
      </c>
      <c r="J639">
        <v>140246.16429656479</v>
      </c>
      <c r="L639">
        <v>3.3199999999999514</v>
      </c>
      <c r="N639">
        <v>-1.9747535929143857E-3</v>
      </c>
      <c r="P639">
        <v>0.18096654184909861</v>
      </c>
      <c r="R639">
        <v>12.349810075335284</v>
      </c>
    </row>
    <row r="640" spans="1:18" x14ac:dyDescent="0.3">
      <c r="A640">
        <v>3.3149999999999515</v>
      </c>
      <c r="B640">
        <v>4.4000000000000002E-6</v>
      </c>
      <c r="D640">
        <v>70.076263281098662</v>
      </c>
      <c r="F640">
        <v>5.8200822436420166E-4</v>
      </c>
      <c r="H640">
        <v>1.7119402135442043E-4</v>
      </c>
      <c r="J640">
        <v>140246.16429656479</v>
      </c>
      <c r="L640">
        <v>3.3149999999999515</v>
      </c>
      <c r="N640">
        <v>-1.9718435517925648E-3</v>
      </c>
      <c r="P640">
        <v>0.18071578996142676</v>
      </c>
      <c r="R640">
        <v>12.349810075335135</v>
      </c>
    </row>
    <row r="641" spans="1:18" x14ac:dyDescent="0.3">
      <c r="A641">
        <v>3.3099999999999516</v>
      </c>
      <c r="B641">
        <v>4.4000000000000002E-6</v>
      </c>
      <c r="D641">
        <v>70.076263281098662</v>
      </c>
      <c r="F641">
        <v>5.8200822436420166E-4</v>
      </c>
      <c r="H641">
        <v>1.7119402135442043E-4</v>
      </c>
      <c r="J641">
        <v>140246.16429656479</v>
      </c>
      <c r="L641">
        <v>3.3099999999999516</v>
      </c>
      <c r="N641">
        <v>-1.9689335106707439E-3</v>
      </c>
      <c r="P641">
        <v>0.18046500781527947</v>
      </c>
      <c r="R641">
        <v>12.349810075334965</v>
      </c>
    </row>
    <row r="642" spans="1:18" x14ac:dyDescent="0.3">
      <c r="A642">
        <v>3.3049999999999518</v>
      </c>
      <c r="B642">
        <v>4.4000000000000002E-6</v>
      </c>
      <c r="D642">
        <v>70.076263281098662</v>
      </c>
      <c r="F642">
        <v>5.8200822436420166E-4</v>
      </c>
      <c r="H642">
        <v>1.7119402135442043E-4</v>
      </c>
      <c r="J642">
        <v>140246.16429656479</v>
      </c>
      <c r="L642">
        <v>3.3049999999999518</v>
      </c>
      <c r="N642">
        <v>-1.9660234695489231E-3</v>
      </c>
      <c r="P642">
        <v>0.18021419536128941</v>
      </c>
      <c r="R642">
        <v>12.349810075334769</v>
      </c>
    </row>
    <row r="643" spans="1:18" x14ac:dyDescent="0.3">
      <c r="A643">
        <v>3.2999999999999519</v>
      </c>
      <c r="B643">
        <v>4.4000000000000002E-6</v>
      </c>
      <c r="D643">
        <v>70.076263281098662</v>
      </c>
      <c r="F643">
        <v>5.8200822436420166E-4</v>
      </c>
      <c r="H643">
        <v>1.7119402135442043E-4</v>
      </c>
      <c r="J643">
        <v>140246.16429656479</v>
      </c>
      <c r="L643">
        <v>3.2999999999999519</v>
      </c>
      <c r="N643">
        <v>-1.9631134284271022E-3</v>
      </c>
      <c r="P643">
        <v>0.17996335254993387</v>
      </c>
      <c r="R643">
        <v>12.349810075334547</v>
      </c>
    </row>
    <row r="644" spans="1:18" x14ac:dyDescent="0.3">
      <c r="A644">
        <v>3.294999999999952</v>
      </c>
      <c r="B644">
        <v>4.4000000000000002E-6</v>
      </c>
      <c r="D644">
        <v>70.076263281098662</v>
      </c>
      <c r="F644">
        <v>5.8200822436420166E-4</v>
      </c>
      <c r="H644">
        <v>1.7119402135442043E-4</v>
      </c>
      <c r="J644">
        <v>140246.16429656479</v>
      </c>
      <c r="L644">
        <v>3.294999999999952</v>
      </c>
      <c r="N644">
        <v>-1.9602033873052814E-3</v>
      </c>
      <c r="P644">
        <v>0.17971247933153423</v>
      </c>
      <c r="R644">
        <v>12.349810075334293</v>
      </c>
    </row>
    <row r="645" spans="1:18" x14ac:dyDescent="0.3">
      <c r="A645">
        <v>3.2899999999999521</v>
      </c>
      <c r="B645">
        <v>4.4000000000000002E-6</v>
      </c>
      <c r="D645">
        <v>70.076263281098662</v>
      </c>
      <c r="F645">
        <v>5.8200822436420166E-4</v>
      </c>
      <c r="H645">
        <v>1.7119402135442043E-4</v>
      </c>
      <c r="J645">
        <v>140246.16429656479</v>
      </c>
      <c r="L645">
        <v>3.2899999999999521</v>
      </c>
      <c r="N645">
        <v>-1.9572933461834605E-3</v>
      </c>
      <c r="P645">
        <v>0.17946157565625481</v>
      </c>
      <c r="R645">
        <v>12.349810075334004</v>
      </c>
    </row>
    <row r="646" spans="1:18" x14ac:dyDescent="0.3">
      <c r="A646">
        <v>3.2849999999999522</v>
      </c>
      <c r="B646">
        <v>4.4000000000000002E-6</v>
      </c>
      <c r="D646">
        <v>70.076263281098662</v>
      </c>
      <c r="F646">
        <v>5.8200822436420166E-4</v>
      </c>
      <c r="H646">
        <v>1.7119402135442043E-4</v>
      </c>
      <c r="J646">
        <v>140246.16429656479</v>
      </c>
      <c r="L646">
        <v>3.2849999999999522</v>
      </c>
      <c r="N646">
        <v>-1.9543833050616397E-3</v>
      </c>
      <c r="P646">
        <v>0.17921064147410265</v>
      </c>
      <c r="R646">
        <v>12.349810075333673</v>
      </c>
    </row>
    <row r="647" spans="1:18" x14ac:dyDescent="0.3">
      <c r="A647">
        <v>3.2799999999999523</v>
      </c>
      <c r="B647">
        <v>4.4000000000000002E-6</v>
      </c>
      <c r="D647">
        <v>70.076263281098662</v>
      </c>
      <c r="F647">
        <v>5.8200822436420166E-4</v>
      </c>
      <c r="H647">
        <v>1.7119402135442043E-4</v>
      </c>
      <c r="J647">
        <v>140246.16429656479</v>
      </c>
      <c r="L647">
        <v>3.2799999999999523</v>
      </c>
      <c r="N647">
        <v>-1.9514732639398188E-3</v>
      </c>
      <c r="P647">
        <v>0.17895967673492624</v>
      </c>
      <c r="R647">
        <v>12.349810075333295</v>
      </c>
    </row>
    <row r="648" spans="1:18" x14ac:dyDescent="0.3">
      <c r="A648">
        <v>3.2749999999999524</v>
      </c>
      <c r="B648">
        <v>4.4000000000000002E-6</v>
      </c>
      <c r="D648">
        <v>70.076263281098662</v>
      </c>
      <c r="F648">
        <v>5.8200822436420166E-4</v>
      </c>
      <c r="H648">
        <v>1.7119402135442043E-4</v>
      </c>
      <c r="J648">
        <v>140246.16429656479</v>
      </c>
      <c r="L648">
        <v>3.2749999999999524</v>
      </c>
      <c r="N648">
        <v>-1.9485632228179977E-3</v>
      </c>
      <c r="P648">
        <v>0.17870868138841528</v>
      </c>
      <c r="R648">
        <v>12.349810075332863</v>
      </c>
    </row>
    <row r="649" spans="1:18" x14ac:dyDescent="0.3">
      <c r="A649">
        <v>3.2699999999999525</v>
      </c>
      <c r="B649">
        <v>4.4000000000000002E-6</v>
      </c>
      <c r="D649">
        <v>70.076263281098662</v>
      </c>
      <c r="F649">
        <v>5.8200822436420166E-4</v>
      </c>
      <c r="H649">
        <v>1.7119402135442043E-4</v>
      </c>
      <c r="J649">
        <v>140246.16429656479</v>
      </c>
      <c r="L649">
        <v>3.2699999999999525</v>
      </c>
      <c r="N649">
        <v>-1.9456531816961766E-3</v>
      </c>
      <c r="P649">
        <v>0.17845765538409952</v>
      </c>
      <c r="R649">
        <v>12.349810075332371</v>
      </c>
    </row>
    <row r="650" spans="1:18" x14ac:dyDescent="0.3">
      <c r="A650">
        <v>3.2649999999999526</v>
      </c>
      <c r="B650">
        <v>4.4000000000000002E-6</v>
      </c>
      <c r="D650">
        <v>70.076263281098662</v>
      </c>
      <c r="F650">
        <v>5.8200822436420166E-4</v>
      </c>
      <c r="H650">
        <v>1.7119402135442043E-4</v>
      </c>
      <c r="J650">
        <v>140246.16429656479</v>
      </c>
      <c r="L650">
        <v>3.2649999999999526</v>
      </c>
      <c r="N650">
        <v>-1.9427431405743556E-3</v>
      </c>
      <c r="P650">
        <v>0.17820659867134833</v>
      </c>
      <c r="R650">
        <v>12.34981007533181</v>
      </c>
    </row>
    <row r="651" spans="1:18" x14ac:dyDescent="0.3">
      <c r="A651">
        <v>3.2599999999999527</v>
      </c>
      <c r="B651">
        <v>4.4000000000000002E-6</v>
      </c>
      <c r="D651">
        <v>70.076263281098662</v>
      </c>
      <c r="F651">
        <v>5.8200822436420166E-4</v>
      </c>
      <c r="H651">
        <v>1.7119402135442043E-4</v>
      </c>
      <c r="J651">
        <v>140246.16429656479</v>
      </c>
      <c r="L651">
        <v>3.2599999999999527</v>
      </c>
      <c r="N651">
        <v>-1.9398330994525345E-3</v>
      </c>
      <c r="P651">
        <v>0.17795551119936967</v>
      </c>
      <c r="R651">
        <v>12.349810075331169</v>
      </c>
    </row>
    <row r="652" spans="1:18" x14ac:dyDescent="0.3">
      <c r="A652">
        <v>3.2549999999999528</v>
      </c>
      <c r="B652">
        <v>4.4000000000000002E-6</v>
      </c>
      <c r="D652">
        <v>70.076263281098662</v>
      </c>
      <c r="F652">
        <v>5.8200822436420166E-4</v>
      </c>
      <c r="H652">
        <v>1.7119402135442043E-4</v>
      </c>
      <c r="J652">
        <v>140246.16429656479</v>
      </c>
      <c r="L652">
        <v>3.2549999999999528</v>
      </c>
      <c r="N652">
        <v>-1.9369230583307134E-3</v>
      </c>
      <c r="P652">
        <v>0.17770439291720949</v>
      </c>
      <c r="R652">
        <v>12.349810075330437</v>
      </c>
    </row>
    <row r="653" spans="1:18" x14ac:dyDescent="0.3">
      <c r="A653">
        <v>3.2499999999999529</v>
      </c>
      <c r="B653">
        <v>4.4000000000000002E-6</v>
      </c>
      <c r="D653">
        <v>70.076263281098662</v>
      </c>
      <c r="F653">
        <v>5.8200822436420166E-4</v>
      </c>
      <c r="H653">
        <v>1.7119402135442043E-4</v>
      </c>
      <c r="J653">
        <v>140246.16429656479</v>
      </c>
      <c r="L653">
        <v>3.2499999999999529</v>
      </c>
      <c r="N653">
        <v>-1.9340130172088923E-3</v>
      </c>
      <c r="P653">
        <v>0.17745324377375107</v>
      </c>
      <c r="R653">
        <v>12.3498100753296</v>
      </c>
    </row>
    <row r="654" spans="1:18" x14ac:dyDescent="0.3">
      <c r="A654">
        <v>3.244999999999953</v>
      </c>
      <c r="B654">
        <v>4.4000000000000002E-6</v>
      </c>
      <c r="D654">
        <v>70.076263281098662</v>
      </c>
      <c r="F654">
        <v>5.8200822436420166E-4</v>
      </c>
      <c r="H654">
        <v>1.7119402135442043E-4</v>
      </c>
      <c r="J654">
        <v>140246.16429656479</v>
      </c>
      <c r="L654">
        <v>3.244999999999953</v>
      </c>
      <c r="N654">
        <v>-1.9311029760870713E-3</v>
      </c>
      <c r="P654">
        <v>0.17720206371771374</v>
      </c>
      <c r="R654">
        <v>12.349810075328646</v>
      </c>
    </row>
    <row r="655" spans="1:18" x14ac:dyDescent="0.3">
      <c r="A655">
        <v>3.2399999999999531</v>
      </c>
      <c r="B655">
        <v>4.4000000000000002E-6</v>
      </c>
      <c r="D655">
        <v>70.076263281098662</v>
      </c>
      <c r="F655">
        <v>5.8200822436420166E-4</v>
      </c>
      <c r="H655">
        <v>1.7119402135442043E-4</v>
      </c>
      <c r="J655">
        <v>140246.16429656479</v>
      </c>
      <c r="L655">
        <v>3.2399999999999531</v>
      </c>
      <c r="N655">
        <v>-1.9281929349652502E-3</v>
      </c>
      <c r="P655">
        <v>0.17695085269765295</v>
      </c>
      <c r="R655">
        <v>12.349810075327557</v>
      </c>
    </row>
    <row r="656" spans="1:18" x14ac:dyDescent="0.3">
      <c r="A656">
        <v>3.2349999999999532</v>
      </c>
      <c r="B656">
        <v>4.4000000000000002E-6</v>
      </c>
      <c r="D656">
        <v>70.076263281098662</v>
      </c>
      <c r="F656">
        <v>5.8200822436420166E-4</v>
      </c>
      <c r="H656">
        <v>1.7119402135442043E-4</v>
      </c>
      <c r="J656">
        <v>140246.16429656479</v>
      </c>
      <c r="L656">
        <v>3.2349999999999532</v>
      </c>
      <c r="N656">
        <v>-1.9252828938434291E-3</v>
      </c>
      <c r="P656">
        <v>0.17669961066195866</v>
      </c>
      <c r="R656">
        <v>12.349810075326314</v>
      </c>
    </row>
    <row r="657" spans="1:18" x14ac:dyDescent="0.3">
      <c r="A657">
        <v>3.2299999999999534</v>
      </c>
      <c r="B657">
        <v>4.4000000000000002E-6</v>
      </c>
      <c r="D657">
        <v>70.076263281098662</v>
      </c>
      <c r="F657">
        <v>5.8200822436420166E-4</v>
      </c>
      <c r="H657">
        <v>1.7119402135442043E-4</v>
      </c>
      <c r="J657">
        <v>140246.16429656479</v>
      </c>
      <c r="L657">
        <v>3.2299999999999534</v>
      </c>
      <c r="N657">
        <v>-1.9223728527216081E-3</v>
      </c>
      <c r="P657">
        <v>0.17644833755885497</v>
      </c>
      <c r="R657">
        <v>12.349810075324893</v>
      </c>
    </row>
    <row r="658" spans="1:18" x14ac:dyDescent="0.3">
      <c r="A658">
        <v>3.2249999999999535</v>
      </c>
      <c r="B658">
        <v>4.4000000000000002E-6</v>
      </c>
      <c r="D658">
        <v>70.076263281098662</v>
      </c>
      <c r="F658">
        <v>5.8200822436420166E-4</v>
      </c>
      <c r="H658">
        <v>1.7119402135442043E-4</v>
      </c>
      <c r="J658">
        <v>140246.16429656479</v>
      </c>
      <c r="L658">
        <v>3.2249999999999535</v>
      </c>
      <c r="N658">
        <v>-1.919462811599787E-3</v>
      </c>
      <c r="P658">
        <v>0.17619703333639944</v>
      </c>
      <c r="R658">
        <v>12.349810075323271</v>
      </c>
    </row>
    <row r="659" spans="1:18" x14ac:dyDescent="0.3">
      <c r="A659">
        <v>3.2199999999999536</v>
      </c>
      <c r="B659">
        <v>4.4000000000000002E-6</v>
      </c>
      <c r="D659">
        <v>70.076263281098662</v>
      </c>
      <c r="F659">
        <v>5.8200822436420166E-4</v>
      </c>
      <c r="H659">
        <v>1.7119402135442043E-4</v>
      </c>
      <c r="J659">
        <v>140246.16429656479</v>
      </c>
      <c r="L659">
        <v>3.2199999999999536</v>
      </c>
      <c r="N659">
        <v>-1.9165527704779659E-3</v>
      </c>
      <c r="P659">
        <v>0.17594569794248183</v>
      </c>
      <c r="R659">
        <v>12.349810075321418</v>
      </c>
    </row>
    <row r="660" spans="1:18" x14ac:dyDescent="0.3">
      <c r="A660">
        <v>3.2149999999999537</v>
      </c>
      <c r="B660">
        <v>4.4000000000000002E-6</v>
      </c>
      <c r="D660">
        <v>70.076263281098662</v>
      </c>
      <c r="F660">
        <v>5.8200822436420166E-4</v>
      </c>
      <c r="H660">
        <v>1.7119402135442043E-4</v>
      </c>
      <c r="J660">
        <v>140246.16429656479</v>
      </c>
      <c r="L660">
        <v>3.2149999999999537</v>
      </c>
      <c r="N660">
        <v>-1.9136427293561448E-3</v>
      </c>
      <c r="P660">
        <v>0.17569433132482379</v>
      </c>
      <c r="R660">
        <v>12.349810075319304</v>
      </c>
    </row>
    <row r="661" spans="1:18" x14ac:dyDescent="0.3">
      <c r="A661">
        <v>3.2099999999999538</v>
      </c>
      <c r="B661">
        <v>4.4000000000000002E-6</v>
      </c>
      <c r="D661">
        <v>70.076263281098662</v>
      </c>
      <c r="F661">
        <v>5.8200822436420166E-4</v>
      </c>
      <c r="H661">
        <v>1.7119402135442043E-4</v>
      </c>
      <c r="J661">
        <v>140246.16429656479</v>
      </c>
      <c r="L661">
        <v>3.2099999999999538</v>
      </c>
      <c r="N661">
        <v>-1.9107326882343238E-3</v>
      </c>
      <c r="P661">
        <v>0.17544293343097778</v>
      </c>
      <c r="R661">
        <v>12.34981007531689</v>
      </c>
    </row>
    <row r="662" spans="1:18" x14ac:dyDescent="0.3">
      <c r="A662">
        <v>3.2049999999999539</v>
      </c>
      <c r="B662">
        <v>4.4000000000000002E-6</v>
      </c>
      <c r="D662">
        <v>70.076263281098662</v>
      </c>
      <c r="F662">
        <v>5.8200822436420166E-4</v>
      </c>
      <c r="H662">
        <v>1.7119402135442043E-4</v>
      </c>
      <c r="J662">
        <v>140246.16429656479</v>
      </c>
      <c r="L662">
        <v>3.2049999999999539</v>
      </c>
      <c r="N662">
        <v>-1.9078226471125027E-3</v>
      </c>
      <c r="P662">
        <v>0.1751915042083263</v>
      </c>
      <c r="R662">
        <v>12.349810075314133</v>
      </c>
    </row>
    <row r="663" spans="1:18" x14ac:dyDescent="0.3">
      <c r="A663">
        <v>3.199999999999954</v>
      </c>
      <c r="B663">
        <v>4.4000000000000002E-6</v>
      </c>
      <c r="D663">
        <v>70.076263281098662</v>
      </c>
      <c r="F663">
        <v>5.8200822436420166E-4</v>
      </c>
      <c r="H663">
        <v>1.7119402135442043E-4</v>
      </c>
      <c r="J663">
        <v>140246.16429656479</v>
      </c>
      <c r="L663">
        <v>3.199999999999954</v>
      </c>
      <c r="N663">
        <v>-1.9049126059906816E-3</v>
      </c>
      <c r="P663">
        <v>0.17494004360408122</v>
      </c>
      <c r="R663">
        <v>12.349810075310986</v>
      </c>
    </row>
    <row r="664" spans="1:18" x14ac:dyDescent="0.3">
      <c r="A664">
        <v>3.1949999999999541</v>
      </c>
      <c r="B664">
        <v>4.4000000000000002E-6</v>
      </c>
      <c r="D664">
        <v>70.076263281098662</v>
      </c>
      <c r="F664">
        <v>5.8200822436420166E-4</v>
      </c>
      <c r="H664">
        <v>1.7119402135442043E-4</v>
      </c>
      <c r="J664">
        <v>140246.16429656479</v>
      </c>
      <c r="L664">
        <v>3.1949999999999541</v>
      </c>
      <c r="N664">
        <v>-1.9020025648688605E-3</v>
      </c>
      <c r="P664">
        <v>0.17468855156528268</v>
      </c>
      <c r="R664">
        <v>12.34981007530739</v>
      </c>
    </row>
    <row r="665" spans="1:18" x14ac:dyDescent="0.3">
      <c r="A665">
        <v>3.1899999999999542</v>
      </c>
      <c r="B665">
        <v>4.4000000000000002E-6</v>
      </c>
      <c r="D665">
        <v>70.076263281098662</v>
      </c>
      <c r="F665">
        <v>5.8200822436420166E-4</v>
      </c>
      <c r="H665">
        <v>1.7119402135442043E-4</v>
      </c>
      <c r="J665">
        <v>140246.16429656479</v>
      </c>
      <c r="L665">
        <v>3.1899999999999542</v>
      </c>
      <c r="N665">
        <v>-1.8990925237470395E-3</v>
      </c>
      <c r="P665">
        <v>0.17443702803879843</v>
      </c>
      <c r="R665">
        <v>12.349810075303285</v>
      </c>
    </row>
    <row r="666" spans="1:18" x14ac:dyDescent="0.3">
      <c r="A666">
        <v>3.1849999999999543</v>
      </c>
      <c r="B666">
        <v>4.4000000000000002E-6</v>
      </c>
      <c r="D666">
        <v>70.076263281098662</v>
      </c>
      <c r="F666">
        <v>5.8200822436420166E-4</v>
      </c>
      <c r="H666">
        <v>1.7119402135442043E-4</v>
      </c>
      <c r="J666">
        <v>140246.16429656479</v>
      </c>
      <c r="L666">
        <v>3.1849999999999543</v>
      </c>
      <c r="N666">
        <v>-1.8961824826252184E-3</v>
      </c>
      <c r="P666">
        <v>0.17418547297132314</v>
      </c>
      <c r="R666">
        <v>12.349810075298597</v>
      </c>
    </row>
    <row r="667" spans="1:18" x14ac:dyDescent="0.3">
      <c r="A667">
        <v>3.1799999999999544</v>
      </c>
      <c r="B667">
        <v>4.4000000000000002E-6</v>
      </c>
      <c r="D667">
        <v>70.076263281098662</v>
      </c>
      <c r="F667">
        <v>5.8200822436420166E-4</v>
      </c>
      <c r="H667">
        <v>1.7119402135442043E-4</v>
      </c>
      <c r="J667">
        <v>140246.16429656479</v>
      </c>
      <c r="L667">
        <v>3.1799999999999544</v>
      </c>
      <c r="N667">
        <v>-1.8932724415033973E-3</v>
      </c>
      <c r="P667">
        <v>0.17393388630937737</v>
      </c>
      <c r="R667">
        <v>12.349810075293243</v>
      </c>
    </row>
    <row r="668" spans="1:18" x14ac:dyDescent="0.3">
      <c r="A668">
        <v>3.1749999999999545</v>
      </c>
      <c r="B668">
        <v>4.4000000000000002E-6</v>
      </c>
      <c r="D668">
        <v>70.076263281098662</v>
      </c>
      <c r="F668">
        <v>5.8200822436420166E-4</v>
      </c>
      <c r="H668">
        <v>1.7119402135442043E-4</v>
      </c>
      <c r="J668">
        <v>140246.16429656479</v>
      </c>
      <c r="L668">
        <v>3.1749999999999545</v>
      </c>
      <c r="N668">
        <v>-1.8903624003815762E-3</v>
      </c>
      <c r="P668">
        <v>0.17368226799930656</v>
      </c>
      <c r="R668">
        <v>12.349810075287129</v>
      </c>
    </row>
    <row r="669" spans="1:18" x14ac:dyDescent="0.3">
      <c r="A669">
        <v>3.1699999999999546</v>
      </c>
      <c r="B669">
        <v>4.4000000000000002E-6</v>
      </c>
      <c r="D669">
        <v>70.076263281098662</v>
      </c>
      <c r="F669">
        <v>5.8200822436420166E-4</v>
      </c>
      <c r="H669">
        <v>1.7119402135442043E-4</v>
      </c>
      <c r="J669">
        <v>140246.16429656479</v>
      </c>
      <c r="L669">
        <v>3.1699999999999546</v>
      </c>
      <c r="N669">
        <v>-1.8874523592597552E-3</v>
      </c>
      <c r="P669">
        <v>0.1734306179872806</v>
      </c>
      <c r="R669">
        <v>12.349810075280146</v>
      </c>
    </row>
    <row r="670" spans="1:18" x14ac:dyDescent="0.3">
      <c r="A670">
        <v>3.1649999999999547</v>
      </c>
      <c r="B670">
        <v>4.4000000000000002E-6</v>
      </c>
      <c r="D670">
        <v>70.076263281098662</v>
      </c>
      <c r="F670">
        <v>5.8200822436420166E-4</v>
      </c>
      <c r="H670">
        <v>1.7119402135442043E-4</v>
      </c>
      <c r="J670">
        <v>140246.16429656479</v>
      </c>
      <c r="L670">
        <v>3.1649999999999547</v>
      </c>
      <c r="N670">
        <v>-1.8845423181379341E-3</v>
      </c>
      <c r="P670">
        <v>0.17317893621929276</v>
      </c>
      <c r="R670">
        <v>12.349810075272172</v>
      </c>
    </row>
    <row r="671" spans="1:18" x14ac:dyDescent="0.3">
      <c r="A671">
        <v>3.1599999999999548</v>
      </c>
      <c r="B671">
        <v>4.4000000000000002E-6</v>
      </c>
      <c r="D671">
        <v>70.076263281098662</v>
      </c>
      <c r="F671">
        <v>5.8200822436420166E-4</v>
      </c>
      <c r="H671">
        <v>1.7119402135442043E-4</v>
      </c>
      <c r="J671">
        <v>140246.16429656479</v>
      </c>
      <c r="L671">
        <v>3.1599999999999548</v>
      </c>
      <c r="N671">
        <v>-1.881632277016113E-3</v>
      </c>
      <c r="P671">
        <v>0.17292722264115873</v>
      </c>
      <c r="R671">
        <v>12.349810075263065</v>
      </c>
    </row>
    <row r="672" spans="1:18" x14ac:dyDescent="0.3">
      <c r="A672">
        <v>3.154999999999955</v>
      </c>
      <c r="B672">
        <v>4.4000000000000002E-6</v>
      </c>
      <c r="D672">
        <v>70.076263281098662</v>
      </c>
      <c r="F672">
        <v>5.8200822436420166E-4</v>
      </c>
      <c r="H672">
        <v>1.7119402135442043E-4</v>
      </c>
      <c r="J672">
        <v>140246.16429656479</v>
      </c>
      <c r="L672">
        <v>3.154999999999955</v>
      </c>
      <c r="N672">
        <v>-1.8787222358942919E-3</v>
      </c>
      <c r="P672">
        <v>0.17267547719851592</v>
      </c>
      <c r="R672">
        <v>12.349810075252664</v>
      </c>
    </row>
    <row r="673" spans="1:18" x14ac:dyDescent="0.3">
      <c r="A673">
        <v>3.1499999999999551</v>
      </c>
      <c r="B673">
        <v>4.4000000000000002E-6</v>
      </c>
      <c r="D673">
        <v>70.076263281098662</v>
      </c>
      <c r="F673">
        <v>5.8200822436420166E-4</v>
      </c>
      <c r="H673">
        <v>1.7119402135442043E-4</v>
      </c>
      <c r="J673">
        <v>140246.16429656479</v>
      </c>
      <c r="L673">
        <v>3.1499999999999551</v>
      </c>
      <c r="N673">
        <v>-1.8758121947724709E-3</v>
      </c>
      <c r="P673">
        <v>0.17242369983682257</v>
      </c>
      <c r="R673">
        <v>12.349810075240788</v>
      </c>
    </row>
    <row r="674" spans="1:18" x14ac:dyDescent="0.3">
      <c r="A674">
        <v>3.1449999999999552</v>
      </c>
      <c r="B674">
        <v>4.4000000000000002E-6</v>
      </c>
      <c r="D674">
        <v>70.076263281098662</v>
      </c>
      <c r="F674">
        <v>5.8200822436420166E-4</v>
      </c>
      <c r="H674">
        <v>1.7119402135442043E-4</v>
      </c>
      <c r="J674">
        <v>140246.16429656479</v>
      </c>
      <c r="L674">
        <v>3.1449999999999552</v>
      </c>
      <c r="N674">
        <v>-1.8729021536506498E-3</v>
      </c>
      <c r="P674">
        <v>0.17217189050135667</v>
      </c>
      <c r="R674">
        <v>12.349810075227223</v>
      </c>
    </row>
    <row r="675" spans="1:18" x14ac:dyDescent="0.3">
      <c r="A675">
        <v>3.1399999999999553</v>
      </c>
      <c r="B675">
        <v>4.4000000000000002E-6</v>
      </c>
      <c r="D675">
        <v>70.076263281098662</v>
      </c>
      <c r="F675">
        <v>5.8200822436420166E-4</v>
      </c>
      <c r="H675">
        <v>1.7119402135442043E-4</v>
      </c>
      <c r="J675">
        <v>140246.16429656479</v>
      </c>
      <c r="L675">
        <v>3.1399999999999553</v>
      </c>
      <c r="N675">
        <v>-1.8699921125288287E-3</v>
      </c>
      <c r="P675">
        <v>0.17192004913721551</v>
      </c>
      <c r="R675">
        <v>12.349810075211732</v>
      </c>
    </row>
    <row r="676" spans="1:18" x14ac:dyDescent="0.3">
      <c r="A676">
        <v>3.1349999999999554</v>
      </c>
      <c r="B676">
        <v>4.4000000000000002E-6</v>
      </c>
      <c r="D676">
        <v>70.076263281098662</v>
      </c>
      <c r="F676">
        <v>5.8200822436420166E-4</v>
      </c>
      <c r="H676">
        <v>1.7119402135442043E-4</v>
      </c>
      <c r="J676">
        <v>140246.16429656479</v>
      </c>
      <c r="L676">
        <v>3.1349999999999554</v>
      </c>
      <c r="N676">
        <v>-1.8670820714070076E-3</v>
      </c>
      <c r="P676">
        <v>0.17166817568931428</v>
      </c>
      <c r="R676">
        <v>12.349810075194039</v>
      </c>
    </row>
    <row r="677" spans="1:18" x14ac:dyDescent="0.3">
      <c r="A677">
        <v>3.1299999999999555</v>
      </c>
      <c r="B677">
        <v>4.4000000000000002E-6</v>
      </c>
      <c r="D677">
        <v>70.076263281098662</v>
      </c>
      <c r="F677">
        <v>5.8200822436420166E-4</v>
      </c>
      <c r="H677">
        <v>1.7119402135442043E-4</v>
      </c>
      <c r="J677">
        <v>140246.16429656479</v>
      </c>
      <c r="L677">
        <v>3.1299999999999555</v>
      </c>
      <c r="N677">
        <v>-1.8641720302851866E-3</v>
      </c>
      <c r="P677">
        <v>0.17141627010238553</v>
      </c>
      <c r="R677">
        <v>12.349810075173833</v>
      </c>
    </row>
    <row r="678" spans="1:18" x14ac:dyDescent="0.3">
      <c r="A678">
        <v>3.1249999999999556</v>
      </c>
      <c r="B678">
        <v>4.4000000000000002E-6</v>
      </c>
      <c r="D678">
        <v>70.076263281098662</v>
      </c>
      <c r="F678">
        <v>5.8200822436420166E-4</v>
      </c>
      <c r="H678">
        <v>1.7119402135442043E-4</v>
      </c>
      <c r="J678">
        <v>140246.16429656479</v>
      </c>
      <c r="L678">
        <v>3.1249999999999556</v>
      </c>
      <c r="N678">
        <v>-1.8612619891633655E-3</v>
      </c>
      <c r="P678">
        <v>0.17116433232097816</v>
      </c>
      <c r="R678">
        <v>12.349810075150756</v>
      </c>
    </row>
    <row r="679" spans="1:18" x14ac:dyDescent="0.3">
      <c r="A679">
        <v>3.1199999999999557</v>
      </c>
      <c r="B679">
        <v>4.4000000000000002E-6</v>
      </c>
      <c r="D679">
        <v>70.076263281098662</v>
      </c>
      <c r="F679">
        <v>5.8200822436420166E-4</v>
      </c>
      <c r="H679">
        <v>1.7119402135442043E-4</v>
      </c>
      <c r="J679">
        <v>140246.16429656479</v>
      </c>
      <c r="L679">
        <v>3.1199999999999557</v>
      </c>
      <c r="N679">
        <v>-1.8583519480415444E-3</v>
      </c>
      <c r="P679">
        <v>0.1709123622894565</v>
      </c>
      <c r="R679">
        <v>12.349810075124402</v>
      </c>
    </row>
    <row r="680" spans="1:18" x14ac:dyDescent="0.3">
      <c r="A680">
        <v>3.1149999999999558</v>
      </c>
      <c r="B680">
        <v>4.4000000000000002E-6</v>
      </c>
      <c r="D680">
        <v>70.076263281098662</v>
      </c>
      <c r="F680">
        <v>5.8200822436420166E-4</v>
      </c>
      <c r="H680">
        <v>1.7119402135442043E-4</v>
      </c>
      <c r="J680">
        <v>140246.16429656479</v>
      </c>
      <c r="L680">
        <v>3.1149999999999558</v>
      </c>
      <c r="N680">
        <v>-1.8554419069197233E-3</v>
      </c>
      <c r="P680">
        <v>0.17066035995199944</v>
      </c>
      <c r="R680">
        <v>12.349810075094306</v>
      </c>
    </row>
    <row r="681" spans="1:18" x14ac:dyDescent="0.3">
      <c r="A681">
        <v>3.1099999999999559</v>
      </c>
      <c r="B681">
        <v>4.4000000000000002E-6</v>
      </c>
      <c r="D681">
        <v>70.076263281098662</v>
      </c>
      <c r="F681">
        <v>5.8200822436420166E-4</v>
      </c>
      <c r="H681">
        <v>1.7119402135442043E-4</v>
      </c>
      <c r="J681">
        <v>140246.16429656479</v>
      </c>
      <c r="L681">
        <v>3.1099999999999559</v>
      </c>
      <c r="N681">
        <v>-1.8525318657979023E-3</v>
      </c>
      <c r="P681">
        <v>0.17040832525259939</v>
      </c>
      <c r="R681">
        <v>12.349810075059933</v>
      </c>
    </row>
    <row r="682" spans="1:18" x14ac:dyDescent="0.3">
      <c r="A682">
        <v>3.104999999999956</v>
      </c>
      <c r="B682">
        <v>4.4000000000000002E-6</v>
      </c>
      <c r="D682">
        <v>70.076263281098662</v>
      </c>
      <c r="F682">
        <v>5.8200822436420166E-4</v>
      </c>
      <c r="H682">
        <v>1.7119402135442043E-4</v>
      </c>
      <c r="J682">
        <v>140246.16429656479</v>
      </c>
      <c r="L682">
        <v>3.104999999999956</v>
      </c>
      <c r="N682">
        <v>-1.8496218246760812E-3</v>
      </c>
      <c r="P682">
        <v>0.17015625813506161</v>
      </c>
      <c r="R682">
        <v>12.349810075020679</v>
      </c>
    </row>
    <row r="683" spans="1:18" x14ac:dyDescent="0.3">
      <c r="A683">
        <v>3.0999999999999561</v>
      </c>
      <c r="B683">
        <v>4.4000000000000002E-6</v>
      </c>
      <c r="D683">
        <v>70.076263281098662</v>
      </c>
      <c r="F683">
        <v>5.8200822436420166E-4</v>
      </c>
      <c r="H683">
        <v>1.7119402135442043E-4</v>
      </c>
      <c r="J683">
        <v>140246.16429656479</v>
      </c>
      <c r="L683">
        <v>3.0999999999999561</v>
      </c>
      <c r="N683">
        <v>-1.8467117835542601E-3</v>
      </c>
      <c r="P683">
        <v>0.16990415854300303</v>
      </c>
      <c r="R683">
        <v>12.349810074975849</v>
      </c>
    </row>
    <row r="684" spans="1:18" x14ac:dyDescent="0.3">
      <c r="A684">
        <v>3.0949999999999562</v>
      </c>
      <c r="B684">
        <v>4.4000000000000002E-6</v>
      </c>
      <c r="D684">
        <v>70.076263281098662</v>
      </c>
      <c r="F684">
        <v>5.8200822436420166E-4</v>
      </c>
      <c r="H684">
        <v>1.7119402135442043E-4</v>
      </c>
      <c r="J684">
        <v>140246.16429656479</v>
      </c>
      <c r="L684">
        <v>3.0949999999999562</v>
      </c>
      <c r="N684">
        <v>-1.843801742432439E-3</v>
      </c>
      <c r="P684">
        <v>0.16965202641985141</v>
      </c>
      <c r="R684">
        <v>12.349810074924653</v>
      </c>
    </row>
    <row r="685" spans="1:18" x14ac:dyDescent="0.3">
      <c r="A685">
        <v>3.0899999999999563</v>
      </c>
      <c r="B685">
        <v>4.4000000000000002E-6</v>
      </c>
      <c r="D685">
        <v>70.076263281098662</v>
      </c>
      <c r="F685">
        <v>5.8200822436420166E-4</v>
      </c>
      <c r="H685">
        <v>1.7119402135442043E-4</v>
      </c>
      <c r="J685">
        <v>140246.16429656479</v>
      </c>
      <c r="L685">
        <v>3.0899999999999563</v>
      </c>
      <c r="N685">
        <v>-1.840891701310618E-3</v>
      </c>
      <c r="P685">
        <v>0.1693998617088445</v>
      </c>
      <c r="R685">
        <v>12.349810074866188</v>
      </c>
    </row>
    <row r="686" spans="1:18" x14ac:dyDescent="0.3">
      <c r="A686">
        <v>3.0849999999999564</v>
      </c>
      <c r="B686">
        <v>4.4000000000000002E-6</v>
      </c>
      <c r="D686">
        <v>70.076263281098662</v>
      </c>
      <c r="F686">
        <v>5.8200822436420166E-4</v>
      </c>
      <c r="H686">
        <v>1.7119402135442043E-4</v>
      </c>
      <c r="J686">
        <v>140246.16429656479</v>
      </c>
      <c r="L686">
        <v>3.0849999999999564</v>
      </c>
      <c r="N686">
        <v>-1.8379816601887969E-3</v>
      </c>
      <c r="P686">
        <v>0.16914766435302878</v>
      </c>
      <c r="R686">
        <v>12.349810074799421</v>
      </c>
    </row>
    <row r="687" spans="1:18" x14ac:dyDescent="0.3">
      <c r="A687">
        <v>3.0799999999999566</v>
      </c>
      <c r="B687">
        <v>4.4000000000000002E-6</v>
      </c>
      <c r="D687">
        <v>70.076263281098662</v>
      </c>
      <c r="F687">
        <v>5.8200822436420166E-4</v>
      </c>
      <c r="H687">
        <v>1.7119402135442043E-4</v>
      </c>
      <c r="J687">
        <v>140246.16429656479</v>
      </c>
      <c r="L687">
        <v>3.0799999999999566</v>
      </c>
      <c r="N687">
        <v>-1.8350716190669758E-3</v>
      </c>
      <c r="P687">
        <v>0.16889543429525891</v>
      </c>
      <c r="R687">
        <v>12.349810074723178</v>
      </c>
    </row>
    <row r="688" spans="1:18" x14ac:dyDescent="0.3">
      <c r="A688">
        <v>3.0749999999999567</v>
      </c>
      <c r="B688">
        <v>4.4000000000000002E-6</v>
      </c>
      <c r="D688">
        <v>70.076263281098662</v>
      </c>
      <c r="F688">
        <v>5.8200822436420166E-4</v>
      </c>
      <c r="H688">
        <v>1.7119402135442043E-4</v>
      </c>
      <c r="J688">
        <v>140246.16429656479</v>
      </c>
      <c r="L688">
        <v>3.0749999999999567</v>
      </c>
      <c r="N688">
        <v>-1.8321615779451547E-3</v>
      </c>
      <c r="P688">
        <v>0.16864317147819657</v>
      </c>
      <c r="R688">
        <v>12.349810074636114</v>
      </c>
    </row>
    <row r="689" spans="1:18" x14ac:dyDescent="0.3">
      <c r="A689">
        <v>3.0699999999999568</v>
      </c>
      <c r="B689">
        <v>4.4000000000000002E-6</v>
      </c>
      <c r="D689">
        <v>70.076263281098662</v>
      </c>
      <c r="F689">
        <v>5.8200822436420166E-4</v>
      </c>
      <c r="H689">
        <v>1.7119402135442043E-4</v>
      </c>
      <c r="J689">
        <v>140246.16429656479</v>
      </c>
      <c r="L689">
        <v>3.0699999999999568</v>
      </c>
      <c r="N689">
        <v>-1.8292515368233337E-3</v>
      </c>
      <c r="P689">
        <v>0.16839087584430942</v>
      </c>
      <c r="R689">
        <v>12.349810074536693</v>
      </c>
    </row>
    <row r="690" spans="1:18" x14ac:dyDescent="0.3">
      <c r="A690">
        <v>3.0649999999999569</v>
      </c>
      <c r="B690">
        <v>4.4000000000000002E-6</v>
      </c>
      <c r="D690">
        <v>70.076263281098662</v>
      </c>
      <c r="F690">
        <v>5.8200822436420166E-4</v>
      </c>
      <c r="H690">
        <v>1.7119402135442043E-4</v>
      </c>
      <c r="J690">
        <v>140246.16429656479</v>
      </c>
      <c r="L690">
        <v>3.0649999999999569</v>
      </c>
      <c r="N690">
        <v>-1.8263414957015126E-3</v>
      </c>
      <c r="P690">
        <v>0.16813854733587025</v>
      </c>
      <c r="R690">
        <v>12.349810074423166</v>
      </c>
    </row>
    <row r="691" spans="1:18" x14ac:dyDescent="0.3">
      <c r="A691">
        <v>3.059999999999957</v>
      </c>
      <c r="B691">
        <v>4.4000000000000002E-6</v>
      </c>
      <c r="D691">
        <v>70.076263281098662</v>
      </c>
      <c r="F691">
        <v>5.8200822436420166E-4</v>
      </c>
      <c r="H691">
        <v>1.7119402135442043E-4</v>
      </c>
      <c r="J691">
        <v>140246.16429656479</v>
      </c>
      <c r="L691">
        <v>3.059999999999957</v>
      </c>
      <c r="N691">
        <v>-1.8234314545796915E-3</v>
      </c>
      <c r="P691">
        <v>0.16788618589495591</v>
      </c>
      <c r="R691">
        <v>12.349810074293535</v>
      </c>
    </row>
    <row r="692" spans="1:18" x14ac:dyDescent="0.3">
      <c r="A692">
        <v>3.0549999999999571</v>
      </c>
      <c r="B692">
        <v>4.4000000000000002E-6</v>
      </c>
      <c r="D692">
        <v>70.076263281098662</v>
      </c>
      <c r="F692">
        <v>5.8200822436420166E-4</v>
      </c>
      <c r="H692">
        <v>1.7119402135442043E-4</v>
      </c>
      <c r="J692">
        <v>140246.16429656479</v>
      </c>
      <c r="L692">
        <v>3.0549999999999571</v>
      </c>
      <c r="N692">
        <v>-1.8205214134578704E-3</v>
      </c>
      <c r="P692">
        <v>0.16763379146344651</v>
      </c>
      <c r="R692">
        <v>12.349810074145516</v>
      </c>
    </row>
    <row r="693" spans="1:18" x14ac:dyDescent="0.3">
      <c r="A693">
        <v>3.0499999999999572</v>
      </c>
      <c r="B693">
        <v>4.4000000000000002E-6</v>
      </c>
      <c r="D693">
        <v>70.076263281098662</v>
      </c>
      <c r="F693">
        <v>5.8200822436420166E-4</v>
      </c>
      <c r="H693">
        <v>1.7119402135442043E-4</v>
      </c>
      <c r="J693">
        <v>140246.16429656479</v>
      </c>
      <c r="L693">
        <v>3.0499999999999572</v>
      </c>
      <c r="N693">
        <v>-1.8176113723360494E-3</v>
      </c>
      <c r="P693">
        <v>0.16738136398302411</v>
      </c>
      <c r="R693">
        <v>12.349810073976508</v>
      </c>
    </row>
    <row r="694" spans="1:18" x14ac:dyDescent="0.3">
      <c r="A694">
        <v>3.0449999999999573</v>
      </c>
      <c r="B694">
        <v>4.4000000000000002E-6</v>
      </c>
      <c r="D694">
        <v>70.076263281098662</v>
      </c>
      <c r="F694">
        <v>5.8200822436420166E-4</v>
      </c>
      <c r="H694">
        <v>1.7119402135442043E-4</v>
      </c>
      <c r="J694">
        <v>140246.16429656479</v>
      </c>
      <c r="L694">
        <v>3.0449999999999573</v>
      </c>
      <c r="N694">
        <v>-1.8147013312142283E-3</v>
      </c>
      <c r="P694">
        <v>0.16712890339517203</v>
      </c>
      <c r="R694">
        <v>12.349810073783541</v>
      </c>
    </row>
    <row r="695" spans="1:18" x14ac:dyDescent="0.3">
      <c r="A695">
        <v>3.0399999999999574</v>
      </c>
      <c r="B695">
        <v>4.4000000000000002E-6</v>
      </c>
      <c r="D695">
        <v>70.076263281098662</v>
      </c>
      <c r="F695">
        <v>5.8200822436420166E-4</v>
      </c>
      <c r="H695">
        <v>1.7119402135442043E-4</v>
      </c>
      <c r="J695">
        <v>140246.16429656479</v>
      </c>
      <c r="L695">
        <v>3.0399999999999574</v>
      </c>
      <c r="N695">
        <v>-1.8117912900924072E-3</v>
      </c>
      <c r="P695">
        <v>0.16687640964117362</v>
      </c>
      <c r="R695">
        <v>12.349810073563223</v>
      </c>
    </row>
    <row r="696" spans="1:18" x14ac:dyDescent="0.3">
      <c r="A696">
        <v>3.0349999999999575</v>
      </c>
      <c r="B696">
        <v>4.4000000000000002E-6</v>
      </c>
      <c r="D696">
        <v>70.076263281098662</v>
      </c>
      <c r="F696">
        <v>5.8200822436420166E-4</v>
      </c>
      <c r="H696">
        <v>1.7119402135442043E-4</v>
      </c>
      <c r="J696">
        <v>140246.16429656479</v>
      </c>
      <c r="L696">
        <v>3.0349999999999575</v>
      </c>
      <c r="N696">
        <v>-1.8088812489705861E-3</v>
      </c>
      <c r="P696">
        <v>0.16662388266211151</v>
      </c>
      <c r="R696">
        <v>12.349810073311687</v>
      </c>
    </row>
    <row r="697" spans="1:18" x14ac:dyDescent="0.3">
      <c r="A697">
        <v>3.0299999999999576</v>
      </c>
      <c r="B697">
        <v>4.4000000000000002E-6</v>
      </c>
      <c r="D697">
        <v>70.076263281098662</v>
      </c>
      <c r="F697">
        <v>5.8200822436420166E-4</v>
      </c>
      <c r="H697">
        <v>1.7119402135442043E-4</v>
      </c>
      <c r="J697">
        <v>140246.16429656479</v>
      </c>
      <c r="L697">
        <v>3.0299999999999576</v>
      </c>
      <c r="N697">
        <v>-1.8059712078487651E-3</v>
      </c>
      <c r="P697">
        <v>0.16637132239886623</v>
      </c>
      <c r="R697">
        <v>12.349810073024519</v>
      </c>
    </row>
    <row r="698" spans="1:18" x14ac:dyDescent="0.3">
      <c r="A698">
        <v>3.0249999999999577</v>
      </c>
      <c r="B698">
        <v>4.4000000000000002E-6</v>
      </c>
      <c r="D698">
        <v>70.076263281098662</v>
      </c>
      <c r="F698">
        <v>5.8200822436420166E-4</v>
      </c>
      <c r="H698">
        <v>1.7119402135442043E-4</v>
      </c>
      <c r="J698">
        <v>140246.16429656479</v>
      </c>
      <c r="L698">
        <v>3.0249999999999577</v>
      </c>
      <c r="N698">
        <v>-1.803061166726944E-3</v>
      </c>
      <c r="P698">
        <v>0.16611872879211551</v>
      </c>
      <c r="R698">
        <v>12.349810072696684</v>
      </c>
    </row>
    <row r="699" spans="1:18" x14ac:dyDescent="0.3">
      <c r="A699">
        <v>3.0199999999999578</v>
      </c>
      <c r="B699">
        <v>4.4000000000000002E-6</v>
      </c>
      <c r="D699">
        <v>70.076263281098662</v>
      </c>
      <c r="F699">
        <v>5.8200822436420166E-4</v>
      </c>
      <c r="H699">
        <v>1.7119402135442043E-4</v>
      </c>
      <c r="J699">
        <v>140246.16429656479</v>
      </c>
      <c r="L699">
        <v>3.0199999999999578</v>
      </c>
      <c r="N699">
        <v>-1.8001511256051229E-3</v>
      </c>
      <c r="P699">
        <v>0.16586610178233302</v>
      </c>
      <c r="R699">
        <v>12.349810072322436</v>
      </c>
    </row>
    <row r="700" spans="1:18" x14ac:dyDescent="0.3">
      <c r="A700">
        <v>3.0149999999999579</v>
      </c>
      <c r="B700">
        <v>4.4000000000000002E-6</v>
      </c>
      <c r="D700">
        <v>70.076263281098662</v>
      </c>
      <c r="F700">
        <v>5.8200822436420166E-4</v>
      </c>
      <c r="H700">
        <v>1.7119402135442043E-4</v>
      </c>
      <c r="J700">
        <v>140246.16429656479</v>
      </c>
      <c r="L700">
        <v>3.0149999999999579</v>
      </c>
      <c r="N700">
        <v>-1.7972410844833019E-3</v>
      </c>
      <c r="P700">
        <v>0.16561344130978753</v>
      </c>
      <c r="R700">
        <v>12.349810071895222</v>
      </c>
    </row>
    <row r="701" spans="1:18" x14ac:dyDescent="0.3">
      <c r="A701">
        <v>3.009999999999958</v>
      </c>
      <c r="B701">
        <v>4.4000000000000002E-6</v>
      </c>
      <c r="D701">
        <v>70.076263281098662</v>
      </c>
      <c r="F701">
        <v>5.8200822436420166E-4</v>
      </c>
      <c r="H701">
        <v>1.7119402135442043E-4</v>
      </c>
      <c r="J701">
        <v>140246.16429656479</v>
      </c>
      <c r="L701">
        <v>3.009999999999958</v>
      </c>
      <c r="N701">
        <v>-1.7943310433614808E-3</v>
      </c>
      <c r="P701">
        <v>0.1653607473145417</v>
      </c>
      <c r="R701">
        <v>12.349810071407568</v>
      </c>
    </row>
    <row r="702" spans="1:18" x14ac:dyDescent="0.3">
      <c r="A702">
        <v>3.0049999999999581</v>
      </c>
      <c r="B702">
        <v>4.4000000000000002E-6</v>
      </c>
      <c r="D702">
        <v>70.076263281098662</v>
      </c>
      <c r="F702">
        <v>5.8200822436420166E-4</v>
      </c>
      <c r="H702">
        <v>1.7119402135442043E-4</v>
      </c>
      <c r="J702">
        <v>140246.16429656479</v>
      </c>
      <c r="L702">
        <v>3.0049999999999581</v>
      </c>
      <c r="N702">
        <v>-1.7914210022396597E-3</v>
      </c>
      <c r="P702">
        <v>0.16510801973645101</v>
      </c>
      <c r="R702">
        <v>12.349810070850946</v>
      </c>
    </row>
    <row r="703" spans="1:18" x14ac:dyDescent="0.3">
      <c r="A703">
        <v>2.9999999999999583</v>
      </c>
      <c r="B703">
        <v>4.4000000000000002E-6</v>
      </c>
      <c r="D703">
        <v>70.076263281098662</v>
      </c>
      <c r="F703">
        <v>5.8200822436420166E-4</v>
      </c>
      <c r="H703">
        <v>1.7119402135442043E-4</v>
      </c>
      <c r="J703">
        <v>140246.16429656479</v>
      </c>
      <c r="L703">
        <v>2.9999999999999583</v>
      </c>
      <c r="N703">
        <v>-1.7885109611178386E-3</v>
      </c>
      <c r="P703">
        <v>0.16485525851516294</v>
      </c>
      <c r="R703">
        <v>12.349810070215634</v>
      </c>
    </row>
    <row r="704" spans="1:18" x14ac:dyDescent="0.3">
      <c r="A704">
        <v>2.9949999999999584</v>
      </c>
      <c r="B704">
        <v>4.4000000000000002E-6</v>
      </c>
      <c r="D704">
        <v>70.076263281098662</v>
      </c>
      <c r="F704">
        <v>5.8200822436420166E-4</v>
      </c>
      <c r="H704">
        <v>1.7119402135442043E-4</v>
      </c>
      <c r="J704">
        <v>140246.16429656479</v>
      </c>
      <c r="L704">
        <v>2.9949999999999584</v>
      </c>
      <c r="N704">
        <v>-1.7856009199960176E-3</v>
      </c>
      <c r="P704">
        <v>0.16460246359011557</v>
      </c>
      <c r="R704">
        <v>12.349810069490543</v>
      </c>
    </row>
    <row r="705" spans="1:18" x14ac:dyDescent="0.3">
      <c r="A705">
        <v>2.9899999999999585</v>
      </c>
      <c r="B705">
        <v>4.4000000000000002E-6</v>
      </c>
      <c r="D705">
        <v>70.076263281098662</v>
      </c>
      <c r="F705">
        <v>5.8200822436420166E-4</v>
      </c>
      <c r="H705">
        <v>1.7119402135442043E-4</v>
      </c>
      <c r="J705">
        <v>140246.16429656479</v>
      </c>
      <c r="L705">
        <v>2.9899999999999585</v>
      </c>
      <c r="N705">
        <v>-1.7826908788741965E-3</v>
      </c>
      <c r="P705">
        <v>0.16434963490053678</v>
      </c>
      <c r="R705">
        <v>12.349810068663025</v>
      </c>
    </row>
    <row r="706" spans="1:18" x14ac:dyDescent="0.3">
      <c r="A706">
        <v>2.9849999999999586</v>
      </c>
      <c r="B706">
        <v>4.4000000000000002E-6</v>
      </c>
      <c r="D706">
        <v>70.076263281098662</v>
      </c>
      <c r="F706">
        <v>5.8200822436420166E-4</v>
      </c>
      <c r="H706">
        <v>1.7119402135442043E-4</v>
      </c>
      <c r="J706">
        <v>140246.16429656479</v>
      </c>
      <c r="L706">
        <v>2.9849999999999586</v>
      </c>
      <c r="N706">
        <v>-1.7797808377523754E-3</v>
      </c>
      <c r="P706">
        <v>0.16409677238544307</v>
      </c>
      <c r="R706">
        <v>12.349810067718664</v>
      </c>
    </row>
    <row r="707" spans="1:18" x14ac:dyDescent="0.3">
      <c r="A707">
        <v>2.9799999999999587</v>
      </c>
      <c r="B707">
        <v>4.4000000000000002E-6</v>
      </c>
      <c r="D707">
        <v>70.076263281098662</v>
      </c>
      <c r="F707">
        <v>5.8200822436420166E-4</v>
      </c>
      <c r="H707">
        <v>1.7119402135442043E-4</v>
      </c>
      <c r="J707">
        <v>140246.16429656479</v>
      </c>
      <c r="L707">
        <v>2.9799999999999587</v>
      </c>
      <c r="N707">
        <v>-1.7768707966305543E-3</v>
      </c>
      <c r="P707">
        <v>0.16384387598363831</v>
      </c>
      <c r="R707">
        <v>12.34981006664102</v>
      </c>
    </row>
    <row r="708" spans="1:18" x14ac:dyDescent="0.3">
      <c r="A708">
        <v>2.9749999999999588</v>
      </c>
      <c r="B708">
        <v>4.4000000000000002E-6</v>
      </c>
      <c r="D708">
        <v>70.076263281098662</v>
      </c>
      <c r="F708">
        <v>5.8200822436420166E-4</v>
      </c>
      <c r="H708">
        <v>1.7119402135442043E-4</v>
      </c>
      <c r="J708">
        <v>140246.16429656479</v>
      </c>
      <c r="L708">
        <v>2.9749999999999588</v>
      </c>
      <c r="N708">
        <v>-1.7739607555087333E-3</v>
      </c>
      <c r="P708">
        <v>0.16359094563371279</v>
      </c>
      <c r="R708">
        <v>12.349810065411353</v>
      </c>
    </row>
    <row r="709" spans="1:18" x14ac:dyDescent="0.3">
      <c r="A709">
        <v>2.9699999999999589</v>
      </c>
      <c r="B709">
        <v>4.4000000000000002E-6</v>
      </c>
      <c r="D709">
        <v>70.076263281098662</v>
      </c>
      <c r="F709">
        <v>5.8200822436420166E-4</v>
      </c>
      <c r="H709">
        <v>1.7119402135442043E-4</v>
      </c>
      <c r="J709">
        <v>140246.16429656479</v>
      </c>
      <c r="L709">
        <v>2.9699999999999589</v>
      </c>
      <c r="N709">
        <v>-1.7710507143869122E-3</v>
      </c>
      <c r="P709">
        <v>0.16333798127404242</v>
      </c>
      <c r="R709">
        <v>12.349810064008301</v>
      </c>
    </row>
    <row r="710" spans="1:18" x14ac:dyDescent="0.3">
      <c r="A710">
        <v>2.964999999999959</v>
      </c>
      <c r="B710">
        <v>4.4000000000000002E-6</v>
      </c>
      <c r="D710">
        <v>70.076263281098662</v>
      </c>
      <c r="F710">
        <v>5.8200822436420166E-4</v>
      </c>
      <c r="H710">
        <v>1.7119402135442043E-4</v>
      </c>
      <c r="J710">
        <v>140246.16429656479</v>
      </c>
      <c r="L710">
        <v>2.964999999999959</v>
      </c>
      <c r="N710">
        <v>-1.7681406732650911E-3</v>
      </c>
      <c r="P710">
        <v>0.16308498284278689</v>
      </c>
      <c r="R710">
        <v>12.349810062407515</v>
      </c>
    </row>
    <row r="711" spans="1:18" x14ac:dyDescent="0.3">
      <c r="A711">
        <v>2.9599999999999591</v>
      </c>
      <c r="B711">
        <v>4.4000000000000002E-6</v>
      </c>
      <c r="D711">
        <v>70.076263281098662</v>
      </c>
      <c r="F711">
        <v>5.8200822436420166E-4</v>
      </c>
      <c r="H711">
        <v>1.7119402135442043E-4</v>
      </c>
      <c r="J711">
        <v>140246.16429656479</v>
      </c>
      <c r="L711">
        <v>2.9599999999999591</v>
      </c>
      <c r="N711">
        <v>-1.76523063214327E-3</v>
      </c>
      <c r="P711">
        <v>0.16283195027788919</v>
      </c>
      <c r="R711">
        <v>12.349810060581246</v>
      </c>
    </row>
    <row r="712" spans="1:18" x14ac:dyDescent="0.3">
      <c r="A712">
        <v>2.9549999999999592</v>
      </c>
      <c r="B712">
        <v>4.4000000000000002E-6</v>
      </c>
      <c r="D712">
        <v>70.076263281098662</v>
      </c>
      <c r="F712">
        <v>5.8200822436420166E-4</v>
      </c>
      <c r="H712">
        <v>1.7119402135442043E-4</v>
      </c>
      <c r="J712">
        <v>140246.16429656479</v>
      </c>
      <c r="L712">
        <v>2.9549999999999592</v>
      </c>
      <c r="N712">
        <v>-1.762320591021449E-3</v>
      </c>
      <c r="P712">
        <v>0.16257888351707431</v>
      </c>
      <c r="R712">
        <v>12.349810058497871</v>
      </c>
    </row>
    <row r="713" spans="1:18" x14ac:dyDescent="0.3">
      <c r="A713">
        <v>2.9499999999999593</v>
      </c>
      <c r="B713">
        <v>4.4000000000000002E-6</v>
      </c>
      <c r="D713">
        <v>70.076263281098662</v>
      </c>
      <c r="F713">
        <v>5.8200822436420166E-4</v>
      </c>
      <c r="H713">
        <v>1.7119402135442043E-4</v>
      </c>
      <c r="J713">
        <v>140246.16429656479</v>
      </c>
      <c r="L713">
        <v>2.9499999999999593</v>
      </c>
      <c r="N713">
        <v>-1.7594105498996279E-3</v>
      </c>
      <c r="P713">
        <v>0.16232578249784782</v>
      </c>
      <c r="R713">
        <v>12.349810056121358</v>
      </c>
    </row>
    <row r="714" spans="1:18" x14ac:dyDescent="0.3">
      <c r="A714">
        <v>2.9449999999999594</v>
      </c>
      <c r="B714">
        <v>4.4000000000000002E-6</v>
      </c>
      <c r="D714">
        <v>70.076263281098662</v>
      </c>
      <c r="F714">
        <v>5.8200822436420166E-4</v>
      </c>
      <c r="H714">
        <v>1.7119402135442043E-4</v>
      </c>
      <c r="J714">
        <v>140246.16429656479</v>
      </c>
      <c r="L714">
        <v>2.9449999999999594</v>
      </c>
      <c r="N714">
        <v>-1.7565005087778068E-3</v>
      </c>
      <c r="P714">
        <v>0.16207264715749525</v>
      </c>
      <c r="R714">
        <v>12.349810053410653</v>
      </c>
    </row>
    <row r="715" spans="1:18" x14ac:dyDescent="0.3">
      <c r="A715">
        <v>2.9399999999999595</v>
      </c>
      <c r="B715">
        <v>4.4000000000000002E-6</v>
      </c>
      <c r="D715">
        <v>70.076263281098662</v>
      </c>
      <c r="F715">
        <v>5.8200822436420166E-4</v>
      </c>
      <c r="H715">
        <v>1.7119402135442043E-4</v>
      </c>
      <c r="J715">
        <v>140246.16429656479</v>
      </c>
      <c r="L715">
        <v>2.9399999999999595</v>
      </c>
      <c r="N715">
        <v>-1.7535904676559857E-3</v>
      </c>
      <c r="P715">
        <v>0.16181947743308037</v>
      </c>
      <c r="R715">
        <v>12.34981005031899</v>
      </c>
    </row>
    <row r="716" spans="1:18" x14ac:dyDescent="0.3">
      <c r="A716">
        <v>2.9349999999999596</v>
      </c>
      <c r="B716">
        <v>4.4000000000000002E-6</v>
      </c>
      <c r="D716">
        <v>70.076263281098662</v>
      </c>
      <c r="F716">
        <v>5.8200822436420166E-4</v>
      </c>
      <c r="H716">
        <v>1.7119402135442043E-4</v>
      </c>
      <c r="J716">
        <v>140246.16429656479</v>
      </c>
      <c r="L716">
        <v>2.9349999999999596</v>
      </c>
      <c r="N716">
        <v>-1.7506804265341647E-3</v>
      </c>
      <c r="P716">
        <v>0.16156627326144443</v>
      </c>
      <c r="R716">
        <v>12.349810046793095</v>
      </c>
    </row>
    <row r="717" spans="1:18" x14ac:dyDescent="0.3">
      <c r="A717">
        <v>2.9299999999999597</v>
      </c>
      <c r="B717">
        <v>4.4000000000000002E-6</v>
      </c>
      <c r="D717">
        <v>70.076263281098662</v>
      </c>
      <c r="F717">
        <v>5.8200822436420166E-4</v>
      </c>
      <c r="H717">
        <v>1.7119402135442043E-4</v>
      </c>
      <c r="J717">
        <v>140246.16429656479</v>
      </c>
      <c r="L717">
        <v>2.9299999999999597</v>
      </c>
      <c r="N717">
        <v>-1.7477703854123436E-3</v>
      </c>
      <c r="P717">
        <v>0.1613130345792049</v>
      </c>
      <c r="R717">
        <v>12.349810042772297</v>
      </c>
    </row>
    <row r="718" spans="1:18" x14ac:dyDescent="0.3">
      <c r="A718">
        <v>2.9249999999999599</v>
      </c>
      <c r="B718">
        <v>4.4000000000000002E-6</v>
      </c>
      <c r="D718">
        <v>70.076263281098662</v>
      </c>
      <c r="F718">
        <v>5.8200822436420166E-4</v>
      </c>
      <c r="H718">
        <v>1.7119402135442043E-4</v>
      </c>
      <c r="J718">
        <v>140246.16429656479</v>
      </c>
      <c r="L718">
        <v>2.9249999999999599</v>
      </c>
      <c r="N718">
        <v>-1.7448603442905225E-3</v>
      </c>
      <c r="P718">
        <v>0.16105976132275424</v>
      </c>
      <c r="R718">
        <v>12.349810038187503</v>
      </c>
    </row>
    <row r="719" spans="1:18" x14ac:dyDescent="0.3">
      <c r="A719">
        <v>2.91999999999996</v>
      </c>
      <c r="B719">
        <v>4.4000000000000002E-6</v>
      </c>
      <c r="D719">
        <v>70.076263281098662</v>
      </c>
      <c r="F719">
        <v>5.8200822436420166E-4</v>
      </c>
      <c r="H719">
        <v>1.7119402135442043E-4</v>
      </c>
      <c r="J719">
        <v>140246.16429656479</v>
      </c>
      <c r="L719">
        <v>2.91999999999996</v>
      </c>
      <c r="N719">
        <v>-1.7419503031687014E-3</v>
      </c>
      <c r="P719">
        <v>0.16080645342825864</v>
      </c>
      <c r="R719">
        <v>12.349810032960033</v>
      </c>
    </row>
    <row r="720" spans="1:18" x14ac:dyDescent="0.3">
      <c r="A720">
        <v>2.9149999999999601</v>
      </c>
      <c r="B720">
        <v>4.4000000000000002E-6</v>
      </c>
      <c r="D720">
        <v>70.076263281098662</v>
      </c>
      <c r="F720">
        <v>5.8200822436420166E-4</v>
      </c>
      <c r="H720">
        <v>1.7119402135442043E-4</v>
      </c>
      <c r="J720">
        <v>140246.16429656479</v>
      </c>
      <c r="L720">
        <v>2.9149999999999601</v>
      </c>
      <c r="N720">
        <v>-1.7390402620468804E-3</v>
      </c>
      <c r="P720">
        <v>0.16055311083165708</v>
      </c>
      <c r="R720">
        <v>12.349810027000315</v>
      </c>
    </row>
    <row r="721" spans="1:18" x14ac:dyDescent="0.3">
      <c r="A721">
        <v>2.9099999999999602</v>
      </c>
      <c r="B721">
        <v>4.4000000000000002E-6</v>
      </c>
      <c r="D721">
        <v>70.076263281098662</v>
      </c>
      <c r="F721">
        <v>5.8200822436420166E-4</v>
      </c>
      <c r="H721">
        <v>1.7119402135442043E-4</v>
      </c>
      <c r="J721">
        <v>140246.16429656479</v>
      </c>
      <c r="L721">
        <v>2.9099999999999602</v>
      </c>
      <c r="N721">
        <v>-1.7361302209250593E-3</v>
      </c>
      <c r="P721">
        <v>0.16029973346865975</v>
      </c>
      <c r="R721">
        <v>12.349810020206377</v>
      </c>
    </row>
    <row r="722" spans="1:18" x14ac:dyDescent="0.3">
      <c r="A722">
        <v>2.9049999999999603</v>
      </c>
      <c r="B722">
        <v>4.4000000000000002E-6</v>
      </c>
      <c r="D722">
        <v>70.076263281098662</v>
      </c>
      <c r="F722">
        <v>5.8200822436420166E-4</v>
      </c>
      <c r="H722">
        <v>1.7119402135442043E-4</v>
      </c>
      <c r="J722">
        <v>140246.16429656479</v>
      </c>
      <c r="L722">
        <v>2.9049999999999603</v>
      </c>
      <c r="N722">
        <v>-1.7332201798032382E-3</v>
      </c>
      <c r="P722">
        <v>0.16004632127474733</v>
      </c>
      <c r="R722">
        <v>12.349810012462154</v>
      </c>
    </row>
    <row r="723" spans="1:18" x14ac:dyDescent="0.3">
      <c r="A723">
        <v>2.8999999999999604</v>
      </c>
      <c r="B723">
        <v>4.4000000000000002E-6</v>
      </c>
      <c r="D723">
        <v>70.076263281098662</v>
      </c>
      <c r="F723">
        <v>5.8200822436420166E-4</v>
      </c>
      <c r="H723">
        <v>1.7119402135442043E-4</v>
      </c>
      <c r="J723">
        <v>140246.16429656479</v>
      </c>
      <c r="L723">
        <v>2.8999999999999604</v>
      </c>
      <c r="N723">
        <v>-1.7303101386814171E-3</v>
      </c>
      <c r="P723">
        <v>0.15979287418516927</v>
      </c>
      <c r="R723">
        <v>12.349810003635556</v>
      </c>
    </row>
    <row r="724" spans="1:18" x14ac:dyDescent="0.3">
      <c r="A724">
        <v>2.8949999999999605</v>
      </c>
      <c r="B724">
        <v>4.4000000000000002E-6</v>
      </c>
      <c r="D724">
        <v>70.076263281098662</v>
      </c>
      <c r="F724">
        <v>5.8200822436420166E-4</v>
      </c>
      <c r="H724">
        <v>1.7119402135442043E-4</v>
      </c>
      <c r="J724">
        <v>140246.16429656479</v>
      </c>
      <c r="L724">
        <v>2.8949999999999605</v>
      </c>
      <c r="N724">
        <v>-1.7274000975595961E-3</v>
      </c>
      <c r="P724">
        <v>0.15953939213494292</v>
      </c>
      <c r="R724">
        <v>12.349809993576272</v>
      </c>
    </row>
    <row r="725" spans="1:18" x14ac:dyDescent="0.3">
      <c r="A725">
        <v>2.8899999999999606</v>
      </c>
      <c r="B725">
        <v>4.4000000000000002E-6</v>
      </c>
      <c r="D725">
        <v>70.076263281098662</v>
      </c>
      <c r="F725">
        <v>5.8200822436420166E-4</v>
      </c>
      <c r="H725">
        <v>1.7119402135442043E-4</v>
      </c>
      <c r="J725">
        <v>140246.16429656479</v>
      </c>
      <c r="L725">
        <v>2.8899999999999606</v>
      </c>
      <c r="N725">
        <v>-1.724490056437775E-3</v>
      </c>
      <c r="P725">
        <v>0.15928587505885217</v>
      </c>
      <c r="R725">
        <v>12.349809982113289</v>
      </c>
    </row>
    <row r="726" spans="1:18" x14ac:dyDescent="0.3">
      <c r="A726">
        <v>2.8849999999999607</v>
      </c>
      <c r="B726">
        <v>4.4000000000000002E-6</v>
      </c>
      <c r="D726">
        <v>70.076263281098662</v>
      </c>
      <c r="F726">
        <v>5.8200822436420166E-4</v>
      </c>
      <c r="H726">
        <v>1.7119402135442043E-4</v>
      </c>
      <c r="J726">
        <v>140246.16429656479</v>
      </c>
      <c r="L726">
        <v>2.8849999999999607</v>
      </c>
      <c r="N726">
        <v>-1.7215800153159539E-3</v>
      </c>
      <c r="P726">
        <v>0.15903232289144609</v>
      </c>
      <c r="R726">
        <v>12.349809969052059</v>
      </c>
    </row>
    <row r="727" spans="1:18" x14ac:dyDescent="0.3">
      <c r="A727">
        <v>2.8799999999999608</v>
      </c>
      <c r="B727">
        <v>4.4000000000000002E-6</v>
      </c>
      <c r="D727">
        <v>70.076263281098662</v>
      </c>
      <c r="F727">
        <v>5.8200822436420166E-4</v>
      </c>
      <c r="H727">
        <v>1.7119402135442043E-4</v>
      </c>
      <c r="J727">
        <v>140246.16429656479</v>
      </c>
      <c r="L727">
        <v>2.8799999999999608</v>
      </c>
      <c r="N727">
        <v>-1.7186699741941328E-3</v>
      </c>
      <c r="P727">
        <v>0.15877873556703798</v>
      </c>
      <c r="R727">
        <v>12.349809954171301</v>
      </c>
    </row>
    <row r="728" spans="1:18" x14ac:dyDescent="0.3">
      <c r="A728">
        <v>2.8749999999999609</v>
      </c>
      <c r="B728">
        <v>4.4000000000000002E-6</v>
      </c>
      <c r="D728">
        <v>70.076263281098662</v>
      </c>
      <c r="F728">
        <v>5.8200822436420166E-4</v>
      </c>
      <c r="H728">
        <v>1.7119402135442043E-4</v>
      </c>
      <c r="J728">
        <v>140246.16429656479</v>
      </c>
      <c r="L728">
        <v>2.8749999999999609</v>
      </c>
      <c r="N728">
        <v>-1.7157599330723118E-3</v>
      </c>
      <c r="P728">
        <v>0.15852511301970373</v>
      </c>
      <c r="R728">
        <v>12.349809937219359</v>
      </c>
    </row>
    <row r="729" spans="1:18" x14ac:dyDescent="0.3">
      <c r="A729">
        <v>2.869999999999961</v>
      </c>
      <c r="B729">
        <v>4.4000000000000002E-6</v>
      </c>
      <c r="D729">
        <v>70.076263281098662</v>
      </c>
      <c r="F729">
        <v>5.8200822436420166E-4</v>
      </c>
      <c r="H729">
        <v>1.7119402135442043E-4</v>
      </c>
      <c r="J729">
        <v>140246.16429656479</v>
      </c>
      <c r="L729">
        <v>2.869999999999961</v>
      </c>
      <c r="N729">
        <v>-1.7128498919504907E-3</v>
      </c>
      <c r="P729">
        <v>0.15827145518328084</v>
      </c>
      <c r="R729">
        <v>12.349809917910083</v>
      </c>
    </row>
    <row r="730" spans="1:18" x14ac:dyDescent="0.3">
      <c r="A730">
        <v>2.8649999999999611</v>
      </c>
      <c r="B730">
        <v>4.4000000000000002E-6</v>
      </c>
      <c r="D730">
        <v>70.076263281098662</v>
      </c>
      <c r="F730">
        <v>5.8200822436420166E-4</v>
      </c>
      <c r="H730">
        <v>1.7119402135442043E-4</v>
      </c>
      <c r="J730">
        <v>140246.16429656479</v>
      </c>
      <c r="L730">
        <v>2.8649999999999611</v>
      </c>
      <c r="N730">
        <v>-1.7099398508286696E-3</v>
      </c>
      <c r="P730">
        <v>0.15801776199136713</v>
      </c>
      <c r="R730">
        <v>12.349809895918149</v>
      </c>
    </row>
    <row r="731" spans="1:18" x14ac:dyDescent="0.3">
      <c r="A731">
        <v>2.8599999999999612</v>
      </c>
      <c r="B731">
        <v>4.4000000000000002E-6</v>
      </c>
      <c r="D731">
        <v>70.076263281098662</v>
      </c>
      <c r="F731">
        <v>5.8200822436420166E-4</v>
      </c>
      <c r="H731">
        <v>1.7119402135442043E-4</v>
      </c>
      <c r="J731">
        <v>140246.16429656479</v>
      </c>
      <c r="L731">
        <v>2.8599999999999612</v>
      </c>
      <c r="N731">
        <v>-1.7070298097068485E-3</v>
      </c>
      <c r="P731">
        <v>0.15776403337731912</v>
      </c>
      <c r="R731">
        <v>12.349809870873758</v>
      </c>
    </row>
    <row r="732" spans="1:18" x14ac:dyDescent="0.3">
      <c r="A732">
        <v>2.8549999999999613</v>
      </c>
      <c r="B732">
        <v>4.4000000000000002E-6</v>
      </c>
      <c r="D732">
        <v>70.076263281098662</v>
      </c>
      <c r="F732">
        <v>5.8200822436420166E-4</v>
      </c>
      <c r="H732">
        <v>1.7119402135442043E-4</v>
      </c>
      <c r="J732">
        <v>140246.16429656479</v>
      </c>
      <c r="L732">
        <v>2.8549999999999613</v>
      </c>
      <c r="N732">
        <v>-1.7041197685850275E-3</v>
      </c>
      <c r="P732">
        <v>0.15751026927425116</v>
      </c>
      <c r="R732">
        <v>12.349809842356619</v>
      </c>
    </row>
    <row r="733" spans="1:18" x14ac:dyDescent="0.3">
      <c r="A733">
        <v>2.8499999999999615</v>
      </c>
      <c r="B733">
        <v>4.4000000000000002E-6</v>
      </c>
      <c r="D733">
        <v>70.076263281098662</v>
      </c>
      <c r="F733">
        <v>5.8200822436420166E-4</v>
      </c>
      <c r="H733">
        <v>1.7119402135442043E-4</v>
      </c>
      <c r="J733">
        <v>140246.16429656479</v>
      </c>
      <c r="L733">
        <v>2.8499999999999615</v>
      </c>
      <c r="N733">
        <v>-1.7012097274632064E-3</v>
      </c>
      <c r="P733">
        <v>0.15725646961503392</v>
      </c>
      <c r="R733">
        <v>12.349809809889143</v>
      </c>
    </row>
    <row r="734" spans="1:18" x14ac:dyDescent="0.3">
      <c r="A734">
        <v>2.8449999999999616</v>
      </c>
      <c r="B734">
        <v>4.4000000000000002E-6</v>
      </c>
      <c r="D734">
        <v>70.076263281098662</v>
      </c>
      <c r="F734">
        <v>5.8200822436420166E-4</v>
      </c>
      <c r="H734">
        <v>1.7119402135442043E-4</v>
      </c>
      <c r="J734">
        <v>140246.16429656479</v>
      </c>
      <c r="L734">
        <v>2.8449999999999616</v>
      </c>
      <c r="N734">
        <v>-1.6982996863413853E-3</v>
      </c>
      <c r="P734">
        <v>0.15700263433229306</v>
      </c>
      <c r="R734">
        <v>12.349809772928726</v>
      </c>
    </row>
    <row r="735" spans="1:18" x14ac:dyDescent="0.3">
      <c r="A735">
        <v>2.8399999999999617</v>
      </c>
      <c r="B735">
        <v>4.4000000000000002E-6</v>
      </c>
      <c r="D735">
        <v>70.076263281098662</v>
      </c>
      <c r="F735">
        <v>5.8200822436420166E-4</v>
      </c>
      <c r="H735">
        <v>1.7119402135442043E-4</v>
      </c>
      <c r="J735">
        <v>140246.16429656479</v>
      </c>
      <c r="L735">
        <v>2.8399999999999617</v>
      </c>
      <c r="N735">
        <v>-1.6953896452195642E-3</v>
      </c>
      <c r="P735">
        <v>0.15674876335840787</v>
      </c>
      <c r="R735">
        <v>12.349809730858999</v>
      </c>
    </row>
    <row r="736" spans="1:18" x14ac:dyDescent="0.3">
      <c r="A736">
        <v>2.8349999999999618</v>
      </c>
      <c r="B736">
        <v>4.4000000000000002E-6</v>
      </c>
      <c r="D736">
        <v>70.076263281098662</v>
      </c>
      <c r="F736">
        <v>5.8200822436420166E-4</v>
      </c>
      <c r="H736">
        <v>1.7119402135442043E-4</v>
      </c>
      <c r="J736">
        <v>140246.16429656479</v>
      </c>
      <c r="L736">
        <v>2.8349999999999618</v>
      </c>
      <c r="N736">
        <v>-1.6924796040977432E-3</v>
      </c>
      <c r="P736">
        <v>0.15649485662551008</v>
      </c>
      <c r="R736">
        <v>12.349809682979933</v>
      </c>
    </row>
    <row r="737" spans="1:18" x14ac:dyDescent="0.3">
      <c r="A737">
        <v>2.8299999999999619</v>
      </c>
      <c r="B737">
        <v>4.4000000000000002E-6</v>
      </c>
      <c r="D737">
        <v>70.076263281098662</v>
      </c>
      <c r="F737">
        <v>5.8200822436420166E-4</v>
      </c>
      <c r="H737">
        <v>1.7119402135442043E-4</v>
      </c>
      <c r="J737">
        <v>140246.16429656479</v>
      </c>
      <c r="L737">
        <v>2.8299999999999619</v>
      </c>
      <c r="N737">
        <v>-1.6895695629759221E-3</v>
      </c>
      <c r="P737">
        <v>0.15624091406548246</v>
      </c>
      <c r="R737">
        <v>12.349809628496629</v>
      </c>
    </row>
    <row r="738" spans="1:18" x14ac:dyDescent="0.3">
      <c r="A738">
        <v>2.824999999999962</v>
      </c>
      <c r="B738">
        <v>4.4000000000000002E-6</v>
      </c>
      <c r="D738">
        <v>70.076263281098662</v>
      </c>
      <c r="F738">
        <v>5.8200822436420166E-4</v>
      </c>
      <c r="H738">
        <v>1.7119402135442043E-4</v>
      </c>
      <c r="J738">
        <v>140246.16429656479</v>
      </c>
      <c r="L738">
        <v>2.824999999999962</v>
      </c>
      <c r="N738">
        <v>-1.686659521854101E-3</v>
      </c>
      <c r="P738">
        <v>0.1559869356099573</v>
      </c>
      <c r="R738">
        <v>12.349809566506631</v>
      </c>
    </row>
    <row r="739" spans="1:18" x14ac:dyDescent="0.3">
      <c r="A739">
        <v>2.8199999999999621</v>
      </c>
      <c r="B739">
        <v>4.4000000000000002E-6</v>
      </c>
      <c r="D739">
        <v>70.076263281098662</v>
      </c>
      <c r="F739">
        <v>5.8200822436420166E-4</v>
      </c>
      <c r="H739">
        <v>1.7119402135442043E-4</v>
      </c>
      <c r="J739">
        <v>140246.16429656479</v>
      </c>
      <c r="L739">
        <v>2.8199999999999621</v>
      </c>
      <c r="N739">
        <v>-1.6837494807322799E-3</v>
      </c>
      <c r="P739">
        <v>0.15573292119031534</v>
      </c>
      <c r="R739">
        <v>12.349809495985564</v>
      </c>
    </row>
    <row r="740" spans="1:18" x14ac:dyDescent="0.3">
      <c r="A740">
        <v>2.8149999999999622</v>
      </c>
      <c r="B740">
        <v>4.4000000000000002E-6</v>
      </c>
      <c r="D740">
        <v>70.076263281098662</v>
      </c>
      <c r="F740">
        <v>5.8200822436420166E-4</v>
      </c>
      <c r="H740">
        <v>1.7119402135442043E-4</v>
      </c>
      <c r="J740">
        <v>140246.16429656479</v>
      </c>
      <c r="L740">
        <v>2.8149999999999622</v>
      </c>
      <c r="N740">
        <v>-1.6808394396104589E-3</v>
      </c>
      <c r="P740">
        <v>0.15547887073768416</v>
      </c>
      <c r="R740">
        <v>12.349809415770901</v>
      </c>
    </row>
    <row r="741" spans="1:18" x14ac:dyDescent="0.3">
      <c r="A741">
        <v>2.8099999999999623</v>
      </c>
      <c r="B741">
        <v>4.4000000000000002E-6</v>
      </c>
      <c r="D741">
        <v>70.076263281098662</v>
      </c>
      <c r="F741">
        <v>5.8200822436420166E-4</v>
      </c>
      <c r="H741">
        <v>1.7119402135442043E-4</v>
      </c>
      <c r="J741">
        <v>140246.16429656479</v>
      </c>
      <c r="L741">
        <v>2.8099999999999623</v>
      </c>
      <c r="N741">
        <v>-1.6779293984886378E-3</v>
      </c>
      <c r="P741">
        <v>0.15522478418293684</v>
      </c>
      <c r="R741">
        <v>12.349809324543585</v>
      </c>
    </row>
    <row r="742" spans="1:18" x14ac:dyDescent="0.3">
      <c r="A742">
        <v>2.8049999999999624</v>
      </c>
      <c r="B742">
        <v>4.4000000000000002E-6</v>
      </c>
      <c r="D742">
        <v>70.076263281098662</v>
      </c>
      <c r="F742">
        <v>5.8200822436420166E-4</v>
      </c>
      <c r="H742">
        <v>1.7119402135442043E-4</v>
      </c>
      <c r="J742">
        <v>140246.16429656479</v>
      </c>
      <c r="L742">
        <v>2.8049999999999624</v>
      </c>
      <c r="N742">
        <v>-1.6750193573668167E-3</v>
      </c>
      <c r="P742">
        <v>0.15497066145669067</v>
      </c>
      <c r="R742">
        <v>12.349809220807268</v>
      </c>
    </row>
    <row r="743" spans="1:18" x14ac:dyDescent="0.3">
      <c r="A743">
        <v>2.7999999999999625</v>
      </c>
      <c r="B743">
        <v>4.4000000000000002E-6</v>
      </c>
      <c r="D743">
        <v>70.076263281098662</v>
      </c>
      <c r="F743">
        <v>5.8200822436420166E-4</v>
      </c>
      <c r="H743">
        <v>1.7119402135442043E-4</v>
      </c>
      <c r="J743">
        <v>140246.16429656479</v>
      </c>
      <c r="L743">
        <v>2.7999999999999625</v>
      </c>
      <c r="N743">
        <v>-1.6721093162449957E-3</v>
      </c>
      <c r="P743">
        <v>0.15471650248930557</v>
      </c>
      <c r="R743">
        <v>12.349809102864826</v>
      </c>
    </row>
    <row r="744" spans="1:18" x14ac:dyDescent="0.3">
      <c r="A744">
        <v>2.7949999999999626</v>
      </c>
      <c r="B744">
        <v>4.4000000000000002E-6</v>
      </c>
      <c r="D744">
        <v>70.076263281098662</v>
      </c>
      <c r="F744">
        <v>5.8200822436420166E-4</v>
      </c>
      <c r="H744">
        <v>1.7119402135442043E-4</v>
      </c>
      <c r="J744">
        <v>140246.16429656479</v>
      </c>
      <c r="L744">
        <v>2.7949999999999626</v>
      </c>
      <c r="N744">
        <v>-1.6691992751231746E-3</v>
      </c>
      <c r="P744">
        <v>0.15446230721088297</v>
      </c>
      <c r="R744">
        <v>12.349808968791837</v>
      </c>
    </row>
    <row r="745" spans="1:18" x14ac:dyDescent="0.3">
      <c r="A745">
        <v>2.7899999999999627</v>
      </c>
      <c r="B745">
        <v>4.4000000000000002E-6</v>
      </c>
      <c r="D745">
        <v>70.076263281098662</v>
      </c>
      <c r="F745">
        <v>5.8200822436420166E-4</v>
      </c>
      <c r="H745">
        <v>1.7119402135442043E-4</v>
      </c>
      <c r="J745">
        <v>140246.16429656479</v>
      </c>
      <c r="L745">
        <v>2.7899999999999627</v>
      </c>
      <c r="N745">
        <v>-1.6662892340013535E-3</v>
      </c>
      <c r="P745">
        <v>0.15420807555126401</v>
      </c>
      <c r="R745">
        <v>12.349808816406609</v>
      </c>
    </row>
    <row r="746" spans="1:18" x14ac:dyDescent="0.3">
      <c r="A746">
        <v>2.7849999999999628</v>
      </c>
      <c r="B746">
        <v>4.4000000000000002E-6</v>
      </c>
      <c r="D746">
        <v>70.076263281098662</v>
      </c>
      <c r="F746">
        <v>5.8200822436420166E-4</v>
      </c>
      <c r="H746">
        <v>1.7119402135442043E-4</v>
      </c>
      <c r="J746">
        <v>140246.16429656479</v>
      </c>
      <c r="L746">
        <v>2.7849999999999628</v>
      </c>
      <c r="N746">
        <v>-1.6633791928795324E-3</v>
      </c>
      <c r="P746">
        <v>0.15395380744002829</v>
      </c>
      <c r="R746">
        <v>12.349808643236333</v>
      </c>
    </row>
    <row r="747" spans="1:18" x14ac:dyDescent="0.3">
      <c r="A747">
        <v>2.7799999999999629</v>
      </c>
      <c r="B747">
        <v>4.4000000000000002E-6</v>
      </c>
      <c r="D747">
        <v>70.076263281098662</v>
      </c>
      <c r="F747">
        <v>5.8200822436420166E-4</v>
      </c>
      <c r="H747">
        <v>1.7119402135442043E-4</v>
      </c>
      <c r="J747">
        <v>140246.16429656479</v>
      </c>
      <c r="L747">
        <v>2.7799999999999629</v>
      </c>
      <c r="N747">
        <v>-1.6604691517577114E-3</v>
      </c>
      <c r="P747">
        <v>0.15369950280649258</v>
      </c>
      <c r="R747">
        <v>12.349808446478869</v>
      </c>
    </row>
    <row r="748" spans="1:18" x14ac:dyDescent="0.3">
      <c r="A748">
        <v>2.7749999999999631</v>
      </c>
      <c r="B748">
        <v>4.4000000000000002E-6</v>
      </c>
      <c r="D748">
        <v>70.076263281098662</v>
      </c>
      <c r="F748">
        <v>5.8200822436420166E-4</v>
      </c>
      <c r="H748">
        <v>1.7119402135442043E-4</v>
      </c>
      <c r="J748">
        <v>140246.16429656479</v>
      </c>
      <c r="L748">
        <v>2.7749999999999631</v>
      </c>
      <c r="N748">
        <v>-1.6575591106358903E-3</v>
      </c>
      <c r="P748">
        <v>0.15344516157970903</v>
      </c>
      <c r="R748">
        <v>12.349808222959624</v>
      </c>
    </row>
    <row r="749" spans="1:18" x14ac:dyDescent="0.3">
      <c r="A749">
        <v>2.7699999999999632</v>
      </c>
      <c r="B749">
        <v>4.4000000000000002E-6</v>
      </c>
      <c r="D749">
        <v>70.076263281098662</v>
      </c>
      <c r="F749">
        <v>5.8200822436420166E-4</v>
      </c>
      <c r="H749">
        <v>1.7119402135442043E-4</v>
      </c>
      <c r="J749">
        <v>140246.16429656479</v>
      </c>
      <c r="L749">
        <v>2.7699999999999632</v>
      </c>
      <c r="N749">
        <v>-1.6546490695140692E-3</v>
      </c>
      <c r="P749">
        <v>0.15319078368846398</v>
      </c>
      <c r="R749">
        <v>12.34980796908288</v>
      </c>
    </row>
    <row r="750" spans="1:18" x14ac:dyDescent="0.3">
      <c r="A750">
        <v>2.7649999999999633</v>
      </c>
      <c r="B750">
        <v>4.4000000000000002E-6</v>
      </c>
      <c r="D750">
        <v>70.076263281098662</v>
      </c>
      <c r="F750">
        <v>5.8200822436420166E-4</v>
      </c>
      <c r="H750">
        <v>1.7119402135442043E-4</v>
      </c>
      <c r="J750">
        <v>140246.16429656479</v>
      </c>
      <c r="L750">
        <v>2.7649999999999633</v>
      </c>
      <c r="N750">
        <v>-1.6517390283922481E-3</v>
      </c>
      <c r="P750">
        <v>0.15293636906127633</v>
      </c>
      <c r="R750">
        <v>12.349807680776914</v>
      </c>
    </row>
    <row r="751" spans="1:18" x14ac:dyDescent="0.3">
      <c r="A751">
        <v>2.7599999999999634</v>
      </c>
      <c r="B751">
        <v>4.4000000000000002E-6</v>
      </c>
      <c r="D751">
        <v>70.076263281098662</v>
      </c>
      <c r="F751">
        <v>5.8200822436420166E-4</v>
      </c>
      <c r="H751">
        <v>1.7119402135442043E-4</v>
      </c>
      <c r="J751">
        <v>140246.16429656479</v>
      </c>
      <c r="L751">
        <v>2.7599999999999634</v>
      </c>
      <c r="N751">
        <v>-1.6488289872704271E-3</v>
      </c>
      <c r="P751">
        <v>0.15268191762639613</v>
      </c>
      <c r="R751">
        <v>12.349807353432109</v>
      </c>
    </row>
    <row r="752" spans="1:18" x14ac:dyDescent="0.3">
      <c r="A752">
        <v>2.7549999999999635</v>
      </c>
      <c r="B752">
        <v>4.4000000000000002E-6</v>
      </c>
      <c r="D752">
        <v>70.076263281098662</v>
      </c>
      <c r="F752">
        <v>5.8200822436420166E-4</v>
      </c>
      <c r="H752">
        <v>1.7119402135442043E-4</v>
      </c>
      <c r="J752">
        <v>140246.16429656479</v>
      </c>
      <c r="L752">
        <v>2.7549999999999635</v>
      </c>
      <c r="N752">
        <v>-1.645918946148606E-3</v>
      </c>
      <c r="P752">
        <v>0.152427429311803</v>
      </c>
      <c r="R752">
        <v>12.349806981831184</v>
      </c>
    </row>
    <row r="753" spans="1:18" x14ac:dyDescent="0.3">
      <c r="A753">
        <v>2.7499999999999636</v>
      </c>
      <c r="B753">
        <v>4.4000000000000002E-6</v>
      </c>
      <c r="D753">
        <v>70.076263281098662</v>
      </c>
      <c r="F753">
        <v>5.8200822436420166E-4</v>
      </c>
      <c r="H753">
        <v>1.7119402135442043E-4</v>
      </c>
      <c r="J753">
        <v>140246.16429656479</v>
      </c>
      <c r="L753">
        <v>2.7499999999999636</v>
      </c>
      <c r="N753">
        <v>-1.6430089050267849E-3</v>
      </c>
      <c r="P753">
        <v>0.15217290404520478</v>
      </c>
      <c r="R753">
        <v>12.349806560070602</v>
      </c>
    </row>
    <row r="754" spans="1:18" x14ac:dyDescent="0.3">
      <c r="A754">
        <v>2.7449999999999637</v>
      </c>
      <c r="B754">
        <v>4.4000000000000002E-6</v>
      </c>
      <c r="D754">
        <v>70.076263281098662</v>
      </c>
      <c r="F754">
        <v>5.8200822436420166E-4</v>
      </c>
      <c r="H754">
        <v>1.7119402135442043E-4</v>
      </c>
      <c r="J754">
        <v>140246.16429656479</v>
      </c>
      <c r="L754">
        <v>2.7449999999999637</v>
      </c>
      <c r="N754">
        <v>-1.6400988639049638E-3</v>
      </c>
      <c r="P754">
        <v>0.15191834175403568</v>
      </c>
      <c r="R754">
        <v>12.349806081472019</v>
      </c>
    </row>
    <row r="755" spans="1:18" x14ac:dyDescent="0.3">
      <c r="A755">
        <v>2.7399999999999638</v>
      </c>
      <c r="B755">
        <v>4.4000000000000002E-6</v>
      </c>
      <c r="D755">
        <v>70.076263281098662</v>
      </c>
      <c r="F755">
        <v>5.8200822436420166E-4</v>
      </c>
      <c r="H755">
        <v>1.7119402135442043E-4</v>
      </c>
      <c r="J755">
        <v>140246.16429656479</v>
      </c>
      <c r="L755">
        <v>2.7399999999999638</v>
      </c>
      <c r="N755">
        <v>-1.6371888227831428E-3</v>
      </c>
      <c r="P755">
        <v>0.15166374236545521</v>
      </c>
      <c r="R755">
        <v>12.34980553848259</v>
      </c>
    </row>
    <row r="756" spans="1:18" x14ac:dyDescent="0.3">
      <c r="A756">
        <v>2.7349999999999639</v>
      </c>
      <c r="B756">
        <v>4.4000000000000002E-6</v>
      </c>
      <c r="D756">
        <v>70.076263281098662</v>
      </c>
      <c r="F756">
        <v>5.8200822436420166E-4</v>
      </c>
      <c r="H756">
        <v>1.7119402135442043E-4</v>
      </c>
      <c r="J756">
        <v>140246.16429656479</v>
      </c>
      <c r="L756">
        <v>2.7349999999999639</v>
      </c>
      <c r="N756">
        <v>-1.6342787816613217E-3</v>
      </c>
      <c r="P756">
        <v>0.15140910580634623</v>
      </c>
      <c r="R756">
        <v>12.349804922562749</v>
      </c>
    </row>
    <row r="757" spans="1:18" x14ac:dyDescent="0.3">
      <c r="A757">
        <v>2.729999999999964</v>
      </c>
      <c r="B757">
        <v>4.4000000000000002E-6</v>
      </c>
      <c r="D757">
        <v>70.076263281098662</v>
      </c>
      <c r="F757">
        <v>5.8200822436420166E-4</v>
      </c>
      <c r="H757">
        <v>1.7119402135442043E-4</v>
      </c>
      <c r="J757">
        <v>140246.16429656479</v>
      </c>
      <c r="L757">
        <v>2.729999999999964</v>
      </c>
      <c r="N757">
        <v>-1.6313687405395006E-3</v>
      </c>
      <c r="P757">
        <v>0.15115443200331355</v>
      </c>
      <c r="R757">
        <v>12.349804224059943</v>
      </c>
    </row>
    <row r="758" spans="1:18" x14ac:dyDescent="0.3">
      <c r="A758">
        <v>2.7249999999999641</v>
      </c>
      <c r="B758">
        <v>4.4000000000000002E-6</v>
      </c>
      <c r="D758">
        <v>70.076263281098662</v>
      </c>
      <c r="F758">
        <v>5.8200822436420166E-4</v>
      </c>
      <c r="H758">
        <v>1.7119402135442043E-4</v>
      </c>
      <c r="J758">
        <v>140246.16429656479</v>
      </c>
      <c r="L758">
        <v>2.7249999999999641</v>
      </c>
      <c r="N758">
        <v>-1.6284586994176795E-3</v>
      </c>
      <c r="P758">
        <v>0.15089972088268241</v>
      </c>
      <c r="R758">
        <v>12.34980343206662</v>
      </c>
    </row>
    <row r="759" spans="1:18" x14ac:dyDescent="0.3">
      <c r="A759">
        <v>2.7199999999999642</v>
      </c>
      <c r="B759">
        <v>4.4000000000000002E-6</v>
      </c>
      <c r="D759">
        <v>70.076263281098662</v>
      </c>
      <c r="F759">
        <v>5.8200822436420166E-4</v>
      </c>
      <c r="H759">
        <v>1.7119402135442043E-4</v>
      </c>
      <c r="J759">
        <v>140246.16429656479</v>
      </c>
      <c r="L759">
        <v>2.7199999999999642</v>
      </c>
      <c r="N759">
        <v>-1.6255486582958585E-3</v>
      </c>
      <c r="P759">
        <v>0.15064497237049684</v>
      </c>
      <c r="R759">
        <v>12.349802534260553</v>
      </c>
    </row>
    <row r="760" spans="1:18" x14ac:dyDescent="0.3">
      <c r="A760">
        <v>2.7149999999999643</v>
      </c>
      <c r="B760">
        <v>4.4000000000000002E-6</v>
      </c>
      <c r="D760">
        <v>70.076263281098662</v>
      </c>
      <c r="F760">
        <v>5.8200822436420166E-4</v>
      </c>
      <c r="H760">
        <v>1.7119402135442043E-4</v>
      </c>
      <c r="J760">
        <v>140246.16429656479</v>
      </c>
      <c r="L760">
        <v>2.7149999999999643</v>
      </c>
      <c r="N760">
        <v>-1.6226386171740374E-3</v>
      </c>
      <c r="P760">
        <v>0.15039018639251808</v>
      </c>
      <c r="R760">
        <v>12.349801516725387</v>
      </c>
    </row>
    <row r="761" spans="1:18" x14ac:dyDescent="0.3">
      <c r="A761">
        <v>2.7099999999999644</v>
      </c>
      <c r="B761">
        <v>4.4000000000000002E-6</v>
      </c>
      <c r="D761">
        <v>70.076263281098662</v>
      </c>
      <c r="F761">
        <v>5.8200822436420166E-4</v>
      </c>
      <c r="H761">
        <v>1.7119402135442043E-4</v>
      </c>
      <c r="J761">
        <v>140246.16429656479</v>
      </c>
      <c r="L761">
        <v>2.7099999999999644</v>
      </c>
      <c r="N761">
        <v>-1.6197285760522163E-3</v>
      </c>
      <c r="P761">
        <v>0.15013536287422291</v>
      </c>
      <c r="R761">
        <v>12.349800363749049</v>
      </c>
    </row>
    <row r="762" spans="1:18" x14ac:dyDescent="0.3">
      <c r="A762">
        <v>2.7049999999999645</v>
      </c>
      <c r="B762">
        <v>4.4000000000000002E-6</v>
      </c>
      <c r="D762">
        <v>70.076263281098662</v>
      </c>
      <c r="F762">
        <v>5.8200822436420166E-4</v>
      </c>
      <c r="H762">
        <v>1.7119402135442043E-4</v>
      </c>
      <c r="J762">
        <v>140246.16429656479</v>
      </c>
      <c r="L762">
        <v>2.7049999999999645</v>
      </c>
      <c r="N762">
        <v>-1.6168185349303952E-3</v>
      </c>
      <c r="P762">
        <v>0.14988050174080217</v>
      </c>
      <c r="R762">
        <v>12.349799057597348</v>
      </c>
    </row>
    <row r="763" spans="1:18" x14ac:dyDescent="0.3">
      <c r="A763">
        <v>2.6999999999999647</v>
      </c>
      <c r="B763">
        <v>4.4000000000000002E-6</v>
      </c>
      <c r="D763">
        <v>70.076263281098662</v>
      </c>
      <c r="F763">
        <v>5.8200822436420166E-4</v>
      </c>
      <c r="H763">
        <v>1.7119402135442043E-4</v>
      </c>
      <c r="J763">
        <v>140246.16429656479</v>
      </c>
      <c r="L763">
        <v>2.6999999999999647</v>
      </c>
      <c r="N763">
        <v>-1.6139084938085742E-3</v>
      </c>
      <c r="P763">
        <v>0.14962560291715901</v>
      </c>
      <c r="R763">
        <v>12.349797578259864</v>
      </c>
    </row>
    <row r="764" spans="1:18" x14ac:dyDescent="0.3">
      <c r="A764">
        <v>2.6949999999999648</v>
      </c>
      <c r="B764">
        <v>4.4000000000000002E-6</v>
      </c>
      <c r="D764">
        <v>70.076263281098662</v>
      </c>
      <c r="F764">
        <v>5.8200822436420166E-4</v>
      </c>
      <c r="H764">
        <v>1.7119402135442043E-4</v>
      </c>
      <c r="J764">
        <v>140246.16429656479</v>
      </c>
      <c r="L764">
        <v>2.6949999999999648</v>
      </c>
      <c r="N764">
        <v>-1.6109984526867531E-3</v>
      </c>
      <c r="P764">
        <v>0.14937066632790735</v>
      </c>
      <c r="R764">
        <v>12.349795903164811</v>
      </c>
    </row>
    <row r="765" spans="1:18" x14ac:dyDescent="0.3">
      <c r="A765">
        <v>2.6899999999999649</v>
      </c>
      <c r="B765">
        <v>4.4000000000000002E-6</v>
      </c>
      <c r="D765">
        <v>70.076263281098662</v>
      </c>
      <c r="F765">
        <v>5.8200822436420166E-4</v>
      </c>
      <c r="H765">
        <v>1.7119402135442043E-4</v>
      </c>
      <c r="J765">
        <v>140246.16429656479</v>
      </c>
      <c r="L765">
        <v>2.6899999999999649</v>
      </c>
      <c r="N765">
        <v>-1.608088411564932E-3</v>
      </c>
      <c r="P765">
        <v>0.14911569189737012</v>
      </c>
      <c r="R765">
        <v>12.349794006859261</v>
      </c>
    </row>
    <row r="766" spans="1:18" x14ac:dyDescent="0.3">
      <c r="A766">
        <v>2.684999999999965</v>
      </c>
      <c r="B766">
        <v>4.4000000000000002E-6</v>
      </c>
      <c r="D766">
        <v>70.076263281098662</v>
      </c>
      <c r="F766">
        <v>5.8200822436420166E-4</v>
      </c>
      <c r="H766">
        <v>1.7119402135442043E-4</v>
      </c>
      <c r="J766">
        <v>140246.16429656479</v>
      </c>
      <c r="L766">
        <v>2.684999999999965</v>
      </c>
      <c r="N766">
        <v>-1.6051783704431109E-3</v>
      </c>
      <c r="P766">
        <v>0.14886067954957766</v>
      </c>
      <c r="R766">
        <v>12.349791860650651</v>
      </c>
    </row>
    <row r="767" spans="1:18" x14ac:dyDescent="0.3">
      <c r="A767">
        <v>2.6799999999999651</v>
      </c>
      <c r="B767">
        <v>4.4000000000000002E-6</v>
      </c>
      <c r="D767">
        <v>70.076263281098662</v>
      </c>
      <c r="F767">
        <v>5.8200822436420166E-4</v>
      </c>
      <c r="H767">
        <v>1.7119402135442043E-4</v>
      </c>
      <c r="J767">
        <v>140246.16429656479</v>
      </c>
      <c r="L767">
        <v>2.6799999999999651</v>
      </c>
      <c r="N767">
        <v>-1.6022683293212899E-3</v>
      </c>
      <c r="P767">
        <v>0.14860562920826603</v>
      </c>
      <c r="R767">
        <v>12.34978943220508</v>
      </c>
    </row>
    <row r="768" spans="1:18" x14ac:dyDescent="0.3">
      <c r="A768">
        <v>2.6749999999999652</v>
      </c>
      <c r="B768">
        <v>4.4000000000000002E-6</v>
      </c>
      <c r="D768">
        <v>70.076263281098662</v>
      </c>
      <c r="F768">
        <v>5.8200822436420166E-4</v>
      </c>
      <c r="H768">
        <v>1.7119402135442043E-4</v>
      </c>
      <c r="J768">
        <v>140246.16429656479</v>
      </c>
      <c r="L768">
        <v>2.6749999999999652</v>
      </c>
      <c r="N768">
        <v>-1.5993582881994688E-3</v>
      </c>
      <c r="P768">
        <v>0.14835054079687535</v>
      </c>
      <c r="R768">
        <v>12.349786685097396</v>
      </c>
    </row>
    <row r="769" spans="1:18" x14ac:dyDescent="0.3">
      <c r="A769">
        <v>2.6699999999999653</v>
      </c>
      <c r="B769">
        <v>4.4000000000000002E-6</v>
      </c>
      <c r="D769">
        <v>70.076263281098662</v>
      </c>
      <c r="F769">
        <v>5.8200822436420166E-4</v>
      </c>
      <c r="H769">
        <v>1.7119402135442043E-4</v>
      </c>
      <c r="J769">
        <v>140246.16429656479</v>
      </c>
      <c r="L769">
        <v>2.6699999999999653</v>
      </c>
      <c r="N769">
        <v>-1.5964482470776477E-3</v>
      </c>
      <c r="P769">
        <v>0.148095414238548</v>
      </c>
      <c r="R769">
        <v>12.349783578307512</v>
      </c>
    </row>
    <row r="770" spans="1:18" x14ac:dyDescent="0.3">
      <c r="A770">
        <v>2.6649999999999654</v>
      </c>
      <c r="B770">
        <v>4.4000000000000002E-6</v>
      </c>
      <c r="D770">
        <v>70.076263281098662</v>
      </c>
      <c r="F770">
        <v>5.8200822436420166E-4</v>
      </c>
      <c r="H770">
        <v>1.7119402135442043E-4</v>
      </c>
      <c r="J770">
        <v>140246.16429656479</v>
      </c>
      <c r="L770">
        <v>2.6649999999999654</v>
      </c>
      <c r="N770">
        <v>-1.5935382059558266E-3</v>
      </c>
      <c r="P770">
        <v>0.14784024945612703</v>
      </c>
      <c r="R770">
        <v>12.349780065656809</v>
      </c>
    </row>
    <row r="771" spans="1:18" x14ac:dyDescent="0.3">
      <c r="A771">
        <v>2.6599999999999655</v>
      </c>
      <c r="B771">
        <v>4.4000000000000002E-6</v>
      </c>
      <c r="D771">
        <v>70.076263281098662</v>
      </c>
      <c r="F771">
        <v>5.8200822436420166E-4</v>
      </c>
      <c r="H771">
        <v>1.7119402135442043E-4</v>
      </c>
      <c r="J771">
        <v>140246.16429656479</v>
      </c>
      <c r="L771">
        <v>2.6599999999999655</v>
      </c>
      <c r="N771">
        <v>-1.5906281648340056E-3</v>
      </c>
      <c r="P771">
        <v>0.1475850463721543</v>
      </c>
      <c r="R771">
        <v>12.349776095177781</v>
      </c>
    </row>
    <row r="772" spans="1:18" x14ac:dyDescent="0.3">
      <c r="A772">
        <v>2.6549999999999656</v>
      </c>
      <c r="B772">
        <v>4.4000000000000002E-6</v>
      </c>
      <c r="D772">
        <v>70.076263281098662</v>
      </c>
      <c r="F772">
        <v>5.8200822436420166E-4</v>
      </c>
      <c r="H772">
        <v>1.7119402135442043E-4</v>
      </c>
      <c r="J772">
        <v>140246.16429656479</v>
      </c>
      <c r="L772">
        <v>2.6549999999999656</v>
      </c>
      <c r="N772">
        <v>-1.5877181237121845E-3</v>
      </c>
      <c r="P772">
        <v>0.14732980490886891</v>
      </c>
      <c r="R772">
        <v>12.349771608409391</v>
      </c>
    </row>
    <row r="773" spans="1:18" x14ac:dyDescent="0.3">
      <c r="A773">
        <v>2.6499999999999657</v>
      </c>
      <c r="B773">
        <v>4.4000000000000002E-6</v>
      </c>
      <c r="D773">
        <v>70.076263281098662</v>
      </c>
      <c r="F773">
        <v>5.8200822436420166E-4</v>
      </c>
      <c r="H773">
        <v>1.7119402135442043E-4</v>
      </c>
      <c r="J773">
        <v>140246.16429656479</v>
      </c>
      <c r="L773">
        <v>2.6499999999999657</v>
      </c>
      <c r="N773">
        <v>-1.5848080825903634E-3</v>
      </c>
      <c r="P773">
        <v>0.14707452498820522</v>
      </c>
      <c r="R773">
        <v>12.349766539609769</v>
      </c>
    </row>
    <row r="774" spans="1:18" x14ac:dyDescent="0.3">
      <c r="A774">
        <v>2.6449999999999658</v>
      </c>
      <c r="B774">
        <v>4.4000000000000002E-6</v>
      </c>
      <c r="D774">
        <v>70.076263281098662</v>
      </c>
      <c r="F774">
        <v>5.8200822436420166E-4</v>
      </c>
      <c r="H774">
        <v>1.7119402135442043E-4</v>
      </c>
      <c r="J774">
        <v>140246.16429656479</v>
      </c>
      <c r="L774">
        <v>2.6449999999999658</v>
      </c>
      <c r="N774">
        <v>-1.5818980414685423E-3</v>
      </c>
      <c r="P774">
        <v>0.14681920653179123</v>
      </c>
      <c r="R774">
        <v>12.349760814877005</v>
      </c>
    </row>
    <row r="775" spans="1:18" x14ac:dyDescent="0.3">
      <c r="A775">
        <v>2.6399999999999659</v>
      </c>
      <c r="B775">
        <v>4.4000000000000002E-6</v>
      </c>
      <c r="D775">
        <v>70.076263281098662</v>
      </c>
      <c r="F775">
        <v>5.8200822436420166E-4</v>
      </c>
      <c r="H775">
        <v>1.7119402135442043E-4</v>
      </c>
      <c r="J775">
        <v>140246.16429656479</v>
      </c>
      <c r="L775">
        <v>2.6399999999999659</v>
      </c>
      <c r="N775">
        <v>-1.5789880003467213E-3</v>
      </c>
      <c r="P775">
        <v>0.14656384946094678</v>
      </c>
      <c r="R775">
        <v>12.349754351167828</v>
      </c>
    </row>
    <row r="776" spans="1:18" x14ac:dyDescent="0.3">
      <c r="A776">
        <v>2.634999999999966</v>
      </c>
      <c r="B776">
        <v>4.4000000000000002E-6</v>
      </c>
      <c r="D776">
        <v>70.076263281098662</v>
      </c>
      <c r="F776">
        <v>5.8200822436420166E-4</v>
      </c>
      <c r="H776">
        <v>1.7119402135442043E-4</v>
      </c>
      <c r="J776">
        <v>140246.16429656479</v>
      </c>
      <c r="L776">
        <v>2.634999999999966</v>
      </c>
      <c r="N776">
        <v>-1.5760779592249002E-3</v>
      </c>
      <c r="P776">
        <v>0.1463084536966818</v>
      </c>
      <c r="R776">
        <v>12.349747055202901</v>
      </c>
    </row>
    <row r="777" spans="1:18" x14ac:dyDescent="0.3">
      <c r="A777">
        <v>2.6299999999999661</v>
      </c>
      <c r="B777">
        <v>4.4000000000000002E-6</v>
      </c>
      <c r="D777">
        <v>70.076263281098662</v>
      </c>
      <c r="F777">
        <v>5.8200822436420166E-4</v>
      </c>
      <c r="H777">
        <v>1.7119402135442043E-4</v>
      </c>
      <c r="J777">
        <v>140246.16429656479</v>
      </c>
      <c r="L777">
        <v>2.6299999999999661</v>
      </c>
      <c r="N777">
        <v>-1.5731679181030791E-3</v>
      </c>
      <c r="P777">
        <v>0.14605301915969426</v>
      </c>
      <c r="R777">
        <v>12.349738822246294</v>
      </c>
    </row>
    <row r="778" spans="1:18" x14ac:dyDescent="0.3">
      <c r="A778">
        <v>2.6249999999999662</v>
      </c>
      <c r="B778">
        <v>4.4000000000000002E-6</v>
      </c>
      <c r="D778">
        <v>70.076263281098662</v>
      </c>
      <c r="F778">
        <v>5.8200822436420166E-4</v>
      </c>
      <c r="H778">
        <v>1.7119402135442043E-4</v>
      </c>
      <c r="J778">
        <v>140246.16429656479</v>
      </c>
      <c r="L778">
        <v>2.6249999999999662</v>
      </c>
      <c r="N778">
        <v>-1.570257876981258E-3</v>
      </c>
      <c r="P778">
        <v>0.14579754577036869</v>
      </c>
      <c r="R778">
        <v>12.349729534745446</v>
      </c>
    </row>
    <row r="779" spans="1:18" x14ac:dyDescent="0.3">
      <c r="A779">
        <v>2.6199999999999664</v>
      </c>
      <c r="B779">
        <v>4.4000000000000002E-6</v>
      </c>
      <c r="D779">
        <v>70.076263281098662</v>
      </c>
      <c r="F779">
        <v>5.8200822436420166E-4</v>
      </c>
      <c r="H779">
        <v>1.7119402135442043E-4</v>
      </c>
      <c r="J779">
        <v>140246.16429656479</v>
      </c>
      <c r="L779">
        <v>2.6199999999999664</v>
      </c>
      <c r="N779">
        <v>-1.567347835859437E-3</v>
      </c>
      <c r="P779">
        <v>0.14554203344877409</v>
      </c>
      <c r="R779">
        <v>12.349719060816506</v>
      </c>
    </row>
    <row r="780" spans="1:18" x14ac:dyDescent="0.3">
      <c r="A780">
        <v>2.6149999999999665</v>
      </c>
      <c r="B780">
        <v>4.4000000000000002E-6</v>
      </c>
      <c r="D780">
        <v>70.076263281098662</v>
      </c>
      <c r="F780">
        <v>5.8200822436420166E-4</v>
      </c>
      <c r="H780">
        <v>1.7119402135442043E-4</v>
      </c>
      <c r="J780">
        <v>140246.16429656479</v>
      </c>
      <c r="L780">
        <v>2.6149999999999665</v>
      </c>
      <c r="N780">
        <v>-1.5644377947376159E-3</v>
      </c>
      <c r="P780">
        <v>0.14528648211466211</v>
      </c>
      <c r="R780">
        <v>12.349707252558481</v>
      </c>
    </row>
    <row r="781" spans="1:18" x14ac:dyDescent="0.3">
      <c r="A781">
        <v>2.6099999999999666</v>
      </c>
      <c r="B781">
        <v>4.4000000000000002E-6</v>
      </c>
      <c r="D781">
        <v>70.076263281098662</v>
      </c>
      <c r="F781">
        <v>5.8200822436420166E-4</v>
      </c>
      <c r="H781">
        <v>1.7119402135442043E-4</v>
      </c>
      <c r="J781">
        <v>140246.16429656479</v>
      </c>
      <c r="L781">
        <v>2.6099999999999666</v>
      </c>
      <c r="N781">
        <v>-1.5615277536157948E-3</v>
      </c>
      <c r="P781">
        <v>0.1450308916874653</v>
      </c>
      <c r="R781">
        <v>12.349693944177938</v>
      </c>
    </row>
    <row r="782" spans="1:18" x14ac:dyDescent="0.3">
      <c r="A782">
        <v>2.6049999999999667</v>
      </c>
      <c r="B782">
        <v>4.4000000000000002E-6</v>
      </c>
      <c r="D782">
        <v>70.076263281098662</v>
      </c>
      <c r="F782">
        <v>5.8200822436420166E-4</v>
      </c>
      <c r="H782">
        <v>1.7119402135442043E-4</v>
      </c>
      <c r="J782">
        <v>140246.16429656479</v>
      </c>
      <c r="L782">
        <v>2.6049999999999667</v>
      </c>
      <c r="N782">
        <v>-1.5586177124939737E-3</v>
      </c>
      <c r="P782">
        <v>0.14477526208629513</v>
      </c>
      <c r="R782">
        <v>12.349678949904233</v>
      </c>
    </row>
    <row r="783" spans="1:18" x14ac:dyDescent="0.3">
      <c r="A783">
        <v>2.5999999999999668</v>
      </c>
      <c r="B783">
        <v>4.4000000000000002E-6</v>
      </c>
      <c r="D783">
        <v>70.076263281098662</v>
      </c>
      <c r="F783">
        <v>5.8200822436420166E-4</v>
      </c>
      <c r="H783">
        <v>1.7119402135442043E-4</v>
      </c>
      <c r="J783">
        <v>140246.16429656479</v>
      </c>
      <c r="L783">
        <v>2.5999999999999668</v>
      </c>
      <c r="N783">
        <v>-1.5557076713721527E-3</v>
      </c>
      <c r="P783">
        <v>0.14451959322994007</v>
      </c>
      <c r="R783">
        <v>12.349662061673309</v>
      </c>
    </row>
    <row r="784" spans="1:18" x14ac:dyDescent="0.3">
      <c r="A784">
        <v>2.5949999999999669</v>
      </c>
      <c r="B784">
        <v>4.4000000000000002E-6</v>
      </c>
      <c r="D784">
        <v>70.076263281098662</v>
      </c>
      <c r="F784">
        <v>5.8200822436420166E-4</v>
      </c>
      <c r="H784">
        <v>1.7119402135442043E-4</v>
      </c>
      <c r="J784">
        <v>140246.16429656479</v>
      </c>
      <c r="L784">
        <v>2.5949999999999669</v>
      </c>
      <c r="N784">
        <v>-1.5527976302503316E-3</v>
      </c>
      <c r="P784">
        <v>0.14426388503686374</v>
      </c>
      <c r="R784">
        <v>12.349643046555988</v>
      </c>
    </row>
    <row r="785" spans="1:18" x14ac:dyDescent="0.3">
      <c r="A785">
        <v>2.589999999999967</v>
      </c>
      <c r="B785">
        <v>4.4000000000000002E-6</v>
      </c>
      <c r="D785">
        <v>70.076263281098662</v>
      </c>
      <c r="F785">
        <v>5.8200822436420166E-4</v>
      </c>
      <c r="H785">
        <v>1.7119402135442043E-4</v>
      </c>
      <c r="J785">
        <v>140246.16429656479</v>
      </c>
      <c r="L785">
        <v>2.589999999999967</v>
      </c>
      <c r="N785">
        <v>-1.5498875891285105E-3</v>
      </c>
      <c r="P785">
        <v>0.14400813742520302</v>
      </c>
      <c r="R785">
        <v>12.349621643904394</v>
      </c>
    </row>
    <row r="786" spans="1:18" x14ac:dyDescent="0.3">
      <c r="A786">
        <v>2.5849999999999671</v>
      </c>
      <c r="B786">
        <v>4.4000000000000002E-6</v>
      </c>
      <c r="D786">
        <v>70.076263281098662</v>
      </c>
      <c r="F786">
        <v>5.8200822436420166E-4</v>
      </c>
      <c r="H786">
        <v>1.7119402135442043E-4</v>
      </c>
      <c r="J786">
        <v>140246.16429656479</v>
      </c>
      <c r="L786">
        <v>2.5849999999999671</v>
      </c>
      <c r="N786">
        <v>-1.5469775480066895E-3</v>
      </c>
      <c r="P786">
        <v>0.14375235031276593</v>
      </c>
      <c r="R786">
        <v>12.349597562187713</v>
      </c>
    </row>
    <row r="787" spans="1:18" x14ac:dyDescent="0.3">
      <c r="A787">
        <v>2.5799999999999672</v>
      </c>
      <c r="B787">
        <v>4.4000000000000002E-6</v>
      </c>
      <c r="D787">
        <v>70.076263281098662</v>
      </c>
      <c r="F787">
        <v>5.8200822436420166E-4</v>
      </c>
      <c r="H787">
        <v>1.7119402135442043E-4</v>
      </c>
      <c r="J787">
        <v>140246.16429656479</v>
      </c>
      <c r="L787">
        <v>2.5799999999999672</v>
      </c>
      <c r="N787">
        <v>-1.5440675068848684E-3</v>
      </c>
      <c r="P787">
        <v>0.14349652361702991</v>
      </c>
      <c r="R787">
        <v>12.349570475485812</v>
      </c>
    </row>
    <row r="788" spans="1:18" x14ac:dyDescent="0.3">
      <c r="A788">
        <v>2.5749999999999673</v>
      </c>
      <c r="B788">
        <v>4.4000000000000002E-6</v>
      </c>
      <c r="D788">
        <v>70.076263281098662</v>
      </c>
      <c r="F788">
        <v>5.8200822436420166E-4</v>
      </c>
      <c r="H788">
        <v>1.7119402135442043E-4</v>
      </c>
      <c r="J788">
        <v>140246.16429656479</v>
      </c>
      <c r="L788">
        <v>2.5749999999999673</v>
      </c>
      <c r="N788">
        <v>-1.5411574657630473E-3</v>
      </c>
      <c r="P788">
        <v>0.14324065725513965</v>
      </c>
      <c r="R788">
        <v>12.349540019606383</v>
      </c>
    </row>
    <row r="789" spans="1:18" x14ac:dyDescent="0.3">
      <c r="A789">
        <v>2.5699999999999674</v>
      </c>
      <c r="B789">
        <v>4.4000000000000002E-6</v>
      </c>
      <c r="D789">
        <v>70.076263281098662</v>
      </c>
      <c r="F789">
        <v>5.8200822436420166E-4</v>
      </c>
      <c r="H789">
        <v>1.7119402135442043E-4</v>
      </c>
      <c r="J789">
        <v>140246.16429656479</v>
      </c>
      <c r="L789">
        <v>2.5699999999999674</v>
      </c>
      <c r="N789">
        <v>-1.5382474246412262E-3</v>
      </c>
      <c r="P789">
        <v>0.14298475114390521</v>
      </c>
      <c r="R789">
        <v>12.349505787788184</v>
      </c>
    </row>
    <row r="790" spans="1:18" x14ac:dyDescent="0.3">
      <c r="A790">
        <v>2.5649999999999675</v>
      </c>
      <c r="B790">
        <v>4.4000000000000002E-6</v>
      </c>
      <c r="D790">
        <v>70.076263281098662</v>
      </c>
      <c r="F790">
        <v>5.8200822436420166E-4</v>
      </c>
      <c r="H790">
        <v>1.7119402135442043E-4</v>
      </c>
      <c r="J790">
        <v>140246.16429656479</v>
      </c>
      <c r="L790">
        <v>2.5649999999999675</v>
      </c>
      <c r="N790">
        <v>-1.5353373835194052E-3</v>
      </c>
      <c r="P790">
        <v>0.14272880519979991</v>
      </c>
      <c r="R790">
        <v>12.349467325949686</v>
      </c>
    </row>
    <row r="791" spans="1:18" x14ac:dyDescent="0.3">
      <c r="A791">
        <v>2.5599999999999676</v>
      </c>
      <c r="B791">
        <v>4.4000000000000002E-6</v>
      </c>
      <c r="D791">
        <v>70.076263281098662</v>
      </c>
      <c r="F791">
        <v>5.8200822436420166E-4</v>
      </c>
      <c r="H791">
        <v>1.7119402135442043E-4</v>
      </c>
      <c r="J791">
        <v>140246.16429656479</v>
      </c>
      <c r="L791">
        <v>2.5599999999999676</v>
      </c>
      <c r="N791">
        <v>-1.5324273423975841E-3</v>
      </c>
      <c r="P791">
        <v>0.14247281933895853</v>
      </c>
      <c r="R791">
        <v>12.349424127438827</v>
      </c>
    </row>
    <row r="792" spans="1:18" x14ac:dyDescent="0.3">
      <c r="A792">
        <v>2.5549999999999677</v>
      </c>
      <c r="B792">
        <v>4.4000000000000002E-6</v>
      </c>
      <c r="D792">
        <v>70.076263281098662</v>
      </c>
      <c r="F792">
        <v>5.8200822436420166E-4</v>
      </c>
      <c r="H792">
        <v>1.7119402135442043E-4</v>
      </c>
      <c r="J792">
        <v>140246.16429656479</v>
      </c>
      <c r="L792">
        <v>2.5549999999999677</v>
      </c>
      <c r="N792">
        <v>-1.529517301275763E-3</v>
      </c>
      <c r="P792">
        <v>0.14221679347717489</v>
      </c>
      <c r="R792">
        <v>12.349375627235853</v>
      </c>
    </row>
    <row r="793" spans="1:18" x14ac:dyDescent="0.3">
      <c r="A793">
        <v>2.5499999999999678</v>
      </c>
      <c r="B793">
        <v>4.4000000000000002E-6</v>
      </c>
      <c r="D793">
        <v>70.076263281098662</v>
      </c>
      <c r="F793">
        <v>5.8200822436420166E-4</v>
      </c>
      <c r="H793">
        <v>1.7119402135442043E-4</v>
      </c>
      <c r="J793">
        <v>140246.16429656479</v>
      </c>
      <c r="L793">
        <v>2.5499999999999678</v>
      </c>
      <c r="N793">
        <v>-1.5266072601539419E-3</v>
      </c>
      <c r="P793">
        <v>0.14196072752990022</v>
      </c>
      <c r="R793">
        <v>12.34932119555712</v>
      </c>
    </row>
    <row r="794" spans="1:18" x14ac:dyDescent="0.3">
      <c r="A794">
        <v>2.544999999999968</v>
      </c>
      <c r="B794">
        <v>4.4000000000000002E-6</v>
      </c>
      <c r="D794">
        <v>70.076263281098662</v>
      </c>
      <c r="F794">
        <v>5.8200822436420166E-4</v>
      </c>
      <c r="H794">
        <v>1.7119402135442043E-4</v>
      </c>
      <c r="J794">
        <v>140246.16429656479</v>
      </c>
      <c r="L794">
        <v>2.544999999999968</v>
      </c>
      <c r="N794">
        <v>-1.5236972190321209E-3</v>
      </c>
      <c r="P794">
        <v>0.14170462141224083</v>
      </c>
      <c r="R794">
        <v>12.349260130803495</v>
      </c>
    </row>
    <row r="795" spans="1:18" x14ac:dyDescent="0.3">
      <c r="A795">
        <v>2.5399999999999681</v>
      </c>
      <c r="B795">
        <v>4.4000000000000002E-6</v>
      </c>
      <c r="D795">
        <v>70.076263281098662</v>
      </c>
      <c r="F795">
        <v>5.8200822436420166E-4</v>
      </c>
      <c r="H795">
        <v>1.7119402135442043E-4</v>
      </c>
      <c r="J795">
        <v>140246.16429656479</v>
      </c>
      <c r="L795">
        <v>2.5399999999999681</v>
      </c>
      <c r="N795">
        <v>-1.5207871779102998E-3</v>
      </c>
      <c r="P795">
        <v>0.14144847503895613</v>
      </c>
      <c r="R795">
        <v>12.349191651792365</v>
      </c>
    </row>
    <row r="796" spans="1:18" x14ac:dyDescent="0.3">
      <c r="A796">
        <v>2.5349999999999682</v>
      </c>
      <c r="B796">
        <v>4.4000000000000002E-6</v>
      </c>
      <c r="D796">
        <v>70.076263281098662</v>
      </c>
      <c r="F796">
        <v>5.8200822436420166E-4</v>
      </c>
      <c r="H796">
        <v>1.7119402135442043E-4</v>
      </c>
      <c r="J796">
        <v>140246.16429656479</v>
      </c>
      <c r="L796">
        <v>2.5349999999999682</v>
      </c>
      <c r="N796">
        <v>-1.5178771367884787E-3</v>
      </c>
      <c r="P796">
        <v>0.14119228832445635</v>
      </c>
      <c r="R796">
        <v>12.349114889207481</v>
      </c>
    </row>
    <row r="797" spans="1:18" x14ac:dyDescent="0.3">
      <c r="A797">
        <v>2.5299999999999683</v>
      </c>
      <c r="B797">
        <v>4.4000000000000002E-6</v>
      </c>
      <c r="D797">
        <v>70.076263281098662</v>
      </c>
      <c r="F797">
        <v>5.8200822436420166E-4</v>
      </c>
      <c r="H797">
        <v>1.7119402135442043E-4</v>
      </c>
      <c r="J797">
        <v>140246.16429656479</v>
      </c>
      <c r="L797">
        <v>2.5299999999999683</v>
      </c>
      <c r="N797">
        <v>-1.5149670956666576E-3</v>
      </c>
      <c r="P797">
        <v>0.14093606118280072</v>
      </c>
      <c r="R797">
        <v>12.349028876195703</v>
      </c>
    </row>
    <row r="798" spans="1:18" x14ac:dyDescent="0.3">
      <c r="A798">
        <v>2.5249999999999684</v>
      </c>
      <c r="B798">
        <v>4.4000000000000002E-6</v>
      </c>
      <c r="D798">
        <v>70.076263281098662</v>
      </c>
      <c r="F798">
        <v>5.8200822436420166E-4</v>
      </c>
      <c r="H798">
        <v>1.7119402135442043E-4</v>
      </c>
      <c r="J798">
        <v>140246.16429656479</v>
      </c>
      <c r="L798">
        <v>2.5249999999999684</v>
      </c>
      <c r="N798">
        <v>-1.5120570545448366E-3</v>
      </c>
      <c r="P798">
        <v>0.14067979352769508</v>
      </c>
      <c r="R798">
        <v>12.348932538034379</v>
      </c>
    </row>
    <row r="799" spans="1:18" x14ac:dyDescent="0.3">
      <c r="A799">
        <v>2.5199999999999685</v>
      </c>
      <c r="B799">
        <v>4.4000000000000002E-6</v>
      </c>
      <c r="D799">
        <v>70.076263281098662</v>
      </c>
      <c r="F799">
        <v>5.8200822436420166E-4</v>
      </c>
      <c r="H799">
        <v>1.7119402135442043E-4</v>
      </c>
      <c r="J799">
        <v>140246.16429656479</v>
      </c>
      <c r="L799">
        <v>2.5199999999999685</v>
      </c>
      <c r="N799">
        <v>-1.5091470134230155E-3</v>
      </c>
      <c r="P799">
        <v>0.14042348527248985</v>
      </c>
      <c r="R799">
        <v>12.348824680787427</v>
      </c>
    </row>
    <row r="800" spans="1:18" x14ac:dyDescent="0.3">
      <c r="A800">
        <v>2.5149999999999686</v>
      </c>
      <c r="B800">
        <v>4.4000000000000002E-6</v>
      </c>
      <c r="D800">
        <v>70.076263281098662</v>
      </c>
      <c r="F800">
        <v>5.8200822436420166E-4</v>
      </c>
      <c r="H800">
        <v>1.7119402135442043E-4</v>
      </c>
      <c r="J800">
        <v>140246.16429656479</v>
      </c>
      <c r="L800">
        <v>2.5149999999999686</v>
      </c>
      <c r="N800">
        <v>-1.5062369723011944E-3</v>
      </c>
      <c r="P800">
        <v>0.14016713633017774</v>
      </c>
      <c r="R800">
        <v>12.348703978862265</v>
      </c>
    </row>
    <row r="801" spans="1:18" x14ac:dyDescent="0.3">
      <c r="A801">
        <v>2.5099999999999687</v>
      </c>
      <c r="B801">
        <v>4.4000000000000002E-6</v>
      </c>
      <c r="D801">
        <v>70.076263281098662</v>
      </c>
      <c r="F801">
        <v>5.8200822436420166E-4</v>
      </c>
      <c r="H801">
        <v>1.7119402135442043E-4</v>
      </c>
      <c r="J801">
        <v>140246.16429656479</v>
      </c>
      <c r="L801">
        <v>2.5099999999999687</v>
      </c>
      <c r="N801">
        <v>-1.5033269311793733E-3</v>
      </c>
      <c r="P801">
        <v>0.13991074661339173</v>
      </c>
      <c r="R801">
        <v>12.348568961373624</v>
      </c>
    </row>
    <row r="802" spans="1:18" x14ac:dyDescent="0.3">
      <c r="A802">
        <v>2.5049999999999688</v>
      </c>
      <c r="B802">
        <v>4.4000000000000002E-6</v>
      </c>
      <c r="D802">
        <v>70.076263281098662</v>
      </c>
      <c r="F802">
        <v>5.8200822436420166E-4</v>
      </c>
      <c r="H802">
        <v>1.7119402135442043E-4</v>
      </c>
      <c r="J802">
        <v>140246.16429656479</v>
      </c>
      <c r="L802">
        <v>2.5049999999999688</v>
      </c>
      <c r="N802">
        <v>-1.5004168900575523E-3</v>
      </c>
      <c r="P802">
        <v>0.13965431603440276</v>
      </c>
      <c r="R802">
        <v>12.348417997213875</v>
      </c>
    </row>
    <row r="803" spans="1:18" x14ac:dyDescent="0.3">
      <c r="A803">
        <v>2.4999999999999689</v>
      </c>
      <c r="B803">
        <v>4.4000000000000002E-6</v>
      </c>
      <c r="D803">
        <v>70.076263281098662</v>
      </c>
      <c r="F803">
        <v>5.8200822436420166E-4</v>
      </c>
      <c r="H803">
        <v>1.7119402135442043E-4</v>
      </c>
      <c r="J803">
        <v>140246.16429656479</v>
      </c>
      <c r="L803">
        <v>2.4999999999999689</v>
      </c>
      <c r="N803">
        <v>-1.4975068489357312E-3</v>
      </c>
      <c r="P803">
        <v>0.13939784450511747</v>
      </c>
      <c r="R803">
        <v>12.348249278722877</v>
      </c>
    </row>
    <row r="804" spans="1:18" x14ac:dyDescent="0.3">
      <c r="A804">
        <v>2.494999999999969</v>
      </c>
      <c r="B804">
        <v>4.4000000000000002E-6</v>
      </c>
      <c r="D804">
        <v>70.076263281098662</v>
      </c>
      <c r="F804">
        <v>5.8200822436420166E-4</v>
      </c>
      <c r="H804">
        <v>1.7119402135442043E-4</v>
      </c>
      <c r="J804">
        <v>140246.16429656479</v>
      </c>
      <c r="L804">
        <v>2.494999999999969</v>
      </c>
      <c r="N804">
        <v>-1.4945968078139101E-3</v>
      </c>
      <c r="P804">
        <v>0.13914133193707601</v>
      </c>
      <c r="R804">
        <v>12.348060803843648</v>
      </c>
    </row>
    <row r="805" spans="1:18" x14ac:dyDescent="0.3">
      <c r="A805">
        <v>2.4899999999999691</v>
      </c>
      <c r="B805">
        <v>4.4000000000000002E-6</v>
      </c>
      <c r="D805">
        <v>70.076263281098662</v>
      </c>
      <c r="F805">
        <v>5.8200822436420166E-4</v>
      </c>
      <c r="H805">
        <v>1.7119402135442043E-4</v>
      </c>
      <c r="J805">
        <v>140246.16429656479</v>
      </c>
      <c r="L805">
        <v>2.4899999999999691</v>
      </c>
      <c r="N805">
        <v>-1.491686766692089E-3</v>
      </c>
      <c r="P805">
        <v>0.13888477824144982</v>
      </c>
      <c r="R805">
        <v>12.347850356643185</v>
      </c>
    </row>
    <row r="806" spans="1:18" x14ac:dyDescent="0.3">
      <c r="A806">
        <v>2.4849999999999692</v>
      </c>
      <c r="B806">
        <v>4.4000000000000002E-6</v>
      </c>
      <c r="D806">
        <v>70.076263281098662</v>
      </c>
      <c r="F806">
        <v>5.8200822436420166E-4</v>
      </c>
      <c r="H806">
        <v>1.7119402135442043E-4</v>
      </c>
      <c r="J806">
        <v>140246.16429656479</v>
      </c>
      <c r="L806">
        <v>2.4849999999999692</v>
      </c>
      <c r="N806">
        <v>-1.488776725570268E-3</v>
      </c>
      <c r="P806">
        <v>0.13862818332903923</v>
      </c>
      <c r="R806">
        <v>12.34761548607073</v>
      </c>
    </row>
    <row r="807" spans="1:18" x14ac:dyDescent="0.3">
      <c r="A807">
        <v>2.4799999999999693</v>
      </c>
      <c r="B807">
        <v>4.4000000000000002E-6</v>
      </c>
      <c r="D807">
        <v>70.076263281098662</v>
      </c>
      <c r="F807">
        <v>5.8200822436420166E-4</v>
      </c>
      <c r="H807">
        <v>1.7119402135442043E-4</v>
      </c>
      <c r="J807">
        <v>140246.16429656479</v>
      </c>
      <c r="L807">
        <v>2.4799999999999693</v>
      </c>
      <c r="N807">
        <v>-1.4858666844484469E-3</v>
      </c>
      <c r="P807">
        <v>0.1383715471102713</v>
      </c>
      <c r="R807">
        <v>12.34735348281872</v>
      </c>
    </row>
    <row r="808" spans="1:18" x14ac:dyDescent="0.3">
      <c r="A808">
        <v>2.4749999999999694</v>
      </c>
      <c r="B808">
        <v>4.4000000000000002E-6</v>
      </c>
      <c r="D808">
        <v>70.076263281098662</v>
      </c>
      <c r="F808">
        <v>5.8200822436420166E-4</v>
      </c>
      <c r="H808">
        <v>1.7119402135442043E-4</v>
      </c>
      <c r="J808">
        <v>140246.16429656479</v>
      </c>
      <c r="L808">
        <v>2.4749999999999694</v>
      </c>
      <c r="N808">
        <v>-1.4829566433266258E-3</v>
      </c>
      <c r="P808">
        <v>0.13811486949519736</v>
      </c>
      <c r="R808">
        <v>12.347061354144584</v>
      </c>
    </row>
    <row r="809" spans="1:18" x14ac:dyDescent="0.3">
      <c r="A809">
        <v>2.4699999999999696</v>
      </c>
      <c r="B809">
        <v>4.4000000000000002E-6</v>
      </c>
      <c r="D809">
        <v>70.076263281098662</v>
      </c>
      <c r="F809">
        <v>5.8200822436420166E-4</v>
      </c>
      <c r="H809">
        <v>1.7119402135442043E-4</v>
      </c>
      <c r="J809">
        <v>140246.16429656479</v>
      </c>
      <c r="L809">
        <v>2.4699999999999696</v>
      </c>
      <c r="N809">
        <v>-1.4800466022048047E-3</v>
      </c>
      <c r="P809">
        <v>0.13785815039349078</v>
      </c>
      <c r="R809">
        <v>12.346735796504484</v>
      </c>
    </row>
    <row r="810" spans="1:18" x14ac:dyDescent="0.3">
      <c r="A810">
        <v>2.4649999999999697</v>
      </c>
      <c r="B810">
        <v>4.4000000000000002E-6</v>
      </c>
      <c r="D810">
        <v>70.076263281098662</v>
      </c>
      <c r="F810">
        <v>5.8200822436420166E-4</v>
      </c>
      <c r="H810">
        <v>1.7119402135442043E-4</v>
      </c>
      <c r="J810">
        <v>140246.16429656479</v>
      </c>
      <c r="L810">
        <v>2.4649999999999697</v>
      </c>
      <c r="N810">
        <v>-1.4771365610829837E-3</v>
      </c>
      <c r="P810">
        <v>0.13760138971444455</v>
      </c>
      <c r="R810">
        <v>12.34637316584333</v>
      </c>
    </row>
    <row r="811" spans="1:18" x14ac:dyDescent="0.3">
      <c r="A811">
        <v>2.4599999999999698</v>
      </c>
      <c r="B811">
        <v>4.4000000000000002E-6</v>
      </c>
      <c r="D811">
        <v>70.076263281098662</v>
      </c>
      <c r="F811">
        <v>5.8200822436420166E-4</v>
      </c>
      <c r="H811">
        <v>1.7119402135442043E-4</v>
      </c>
      <c r="J811">
        <v>140246.16429656479</v>
      </c>
      <c r="L811">
        <v>2.4599999999999698</v>
      </c>
      <c r="N811">
        <v>-1.4742265199611626E-3</v>
      </c>
      <c r="P811">
        <v>0.137344587366969</v>
      </c>
      <c r="R811">
        <v>12.345969445378723</v>
      </c>
    </row>
    <row r="812" spans="1:18" x14ac:dyDescent="0.3">
      <c r="A812">
        <v>2.4549999999999699</v>
      </c>
      <c r="B812">
        <v>4.4000000000000002E-6</v>
      </c>
      <c r="D812">
        <v>70.076263281098662</v>
      </c>
      <c r="F812">
        <v>5.8200822436420166E-4</v>
      </c>
      <c r="H812">
        <v>1.7119402135442043E-4</v>
      </c>
      <c r="J812">
        <v>140246.16429656479</v>
      </c>
      <c r="L812">
        <v>2.4549999999999699</v>
      </c>
      <c r="N812">
        <v>-1.4713164788393415E-3</v>
      </c>
      <c r="P812">
        <v>0.13708774325958928</v>
      </c>
      <c r="R812">
        <v>12.345520210710268</v>
      </c>
    </row>
    <row r="813" spans="1:18" x14ac:dyDescent="0.3">
      <c r="A813">
        <v>2.44999999999997</v>
      </c>
      <c r="B813">
        <v>4.4000000000000002E-6</v>
      </c>
      <c r="D813">
        <v>70.076263281098662</v>
      </c>
      <c r="F813">
        <v>5.8200822436420166E-4</v>
      </c>
      <c r="H813">
        <v>1.7119402135442043E-4</v>
      </c>
      <c r="J813">
        <v>140246.16429656479</v>
      </c>
      <c r="L813">
        <v>2.44999999999997</v>
      </c>
      <c r="N813">
        <v>-1.4684064377175204E-3</v>
      </c>
      <c r="P813">
        <v>0.136830857300443</v>
      </c>
      <c r="R813">
        <v>12.345020592079932</v>
      </c>
    </row>
    <row r="814" spans="1:18" x14ac:dyDescent="0.3">
      <c r="A814">
        <v>2.4449999999999701</v>
      </c>
      <c r="B814">
        <v>4.4000000000000002E-6</v>
      </c>
      <c r="D814">
        <v>70.076263281098662</v>
      </c>
      <c r="F814">
        <v>5.8200822436420166E-4</v>
      </c>
      <c r="H814">
        <v>1.7119402135442043E-4</v>
      </c>
      <c r="J814">
        <v>140246.16429656479</v>
      </c>
      <c r="L814">
        <v>2.4449999999999701</v>
      </c>
      <c r="N814">
        <v>-1.4654963965956994E-3</v>
      </c>
      <c r="P814">
        <v>0.13657392939727772</v>
      </c>
      <c r="R814">
        <v>12.344465233603925</v>
      </c>
    </row>
    <row r="815" spans="1:18" x14ac:dyDescent="0.3">
      <c r="A815">
        <v>2.4399999999999702</v>
      </c>
      <c r="B815">
        <v>4.4000000000000002E-6</v>
      </c>
      <c r="D815">
        <v>70.076263281098662</v>
      </c>
      <c r="F815">
        <v>5.8200822436420166E-4</v>
      </c>
      <c r="H815">
        <v>1.7119402135442043E-4</v>
      </c>
      <c r="J815">
        <v>140246.16429656479</v>
      </c>
      <c r="L815">
        <v>2.4399999999999702</v>
      </c>
      <c r="N815">
        <v>-1.4625863554738783E-3</v>
      </c>
      <c r="P815">
        <v>0.13631695945744873</v>
      </c>
      <c r="R815">
        <v>12.343848249292224</v>
      </c>
    </row>
    <row r="816" spans="1:18" x14ac:dyDescent="0.3">
      <c r="A816">
        <v>2.4349999999999703</v>
      </c>
      <c r="B816">
        <v>4.4000000000000002E-6</v>
      </c>
      <c r="D816">
        <v>70.076263281098662</v>
      </c>
      <c r="F816">
        <v>5.8200822436420166E-4</v>
      </c>
      <c r="H816">
        <v>1.7119402135442043E-4</v>
      </c>
      <c r="J816">
        <v>140246.16429656479</v>
      </c>
      <c r="L816">
        <v>2.4349999999999703</v>
      </c>
      <c r="N816">
        <v>-1.4596763143520572E-3</v>
      </c>
      <c r="P816">
        <v>0.13605994738791624</v>
      </c>
      <c r="R816">
        <v>12.343163175668373</v>
      </c>
    </row>
    <row r="817" spans="1:18" x14ac:dyDescent="0.3">
      <c r="A817">
        <v>2.4299999999999704</v>
      </c>
      <c r="B817">
        <v>4.4000000000000002E-6</v>
      </c>
      <c r="D817">
        <v>70.076263281098662</v>
      </c>
      <c r="F817">
        <v>5.8200822436420166E-4</v>
      </c>
      <c r="H817">
        <v>1.7119402135442043E-4</v>
      </c>
      <c r="J817">
        <v>140246.16429656479</v>
      </c>
      <c r="L817">
        <v>2.4299999999999704</v>
      </c>
      <c r="N817">
        <v>-1.4567662732302361E-3</v>
      </c>
      <c r="P817">
        <v>0.13580289309524318</v>
      </c>
      <c r="R817">
        <v>12.342402920799858</v>
      </c>
    </row>
    <row r="818" spans="1:18" x14ac:dyDescent="0.3">
      <c r="A818">
        <v>2.4249999999999705</v>
      </c>
      <c r="B818">
        <v>4.4000000000000002E-6</v>
      </c>
      <c r="D818">
        <v>70.076263281098662</v>
      </c>
      <c r="F818">
        <v>5.8200822436420166E-4</v>
      </c>
      <c r="H818">
        <v>1.7119402135442043E-4</v>
      </c>
      <c r="J818">
        <v>140246.16429656479</v>
      </c>
      <c r="L818">
        <v>2.4249999999999705</v>
      </c>
      <c r="N818">
        <v>-1.4538562321084151E-3</v>
      </c>
      <c r="P818">
        <v>0.13554579648559242</v>
      </c>
      <c r="R818">
        <v>12.34155970954833</v>
      </c>
    </row>
    <row r="819" spans="1:18" x14ac:dyDescent="0.3">
      <c r="A819">
        <v>2.4199999999999706</v>
      </c>
      <c r="B819">
        <v>4.4000000000000002E-6</v>
      </c>
      <c r="D819">
        <v>70.076263281098662</v>
      </c>
      <c r="F819">
        <v>5.8200822436420166E-4</v>
      </c>
      <c r="H819">
        <v>1.7119402135442043E-4</v>
      </c>
      <c r="J819">
        <v>140246.16429656479</v>
      </c>
      <c r="L819">
        <v>2.4199999999999706</v>
      </c>
      <c r="N819">
        <v>-1.450946190986594E-3</v>
      </c>
      <c r="P819">
        <v>0.13528865746472454</v>
      </c>
      <c r="R819">
        <v>12.3406250248495</v>
      </c>
    </row>
    <row r="820" spans="1:18" x14ac:dyDescent="0.3">
      <c r="A820">
        <v>2.4149999999999707</v>
      </c>
      <c r="B820">
        <v>4.4000000000000002E-6</v>
      </c>
      <c r="D820">
        <v>70.076263281098662</v>
      </c>
      <c r="F820">
        <v>5.8200822436420166E-4</v>
      </c>
      <c r="H820">
        <v>1.7119402135442043E-4</v>
      </c>
      <c r="J820">
        <v>140246.16429656479</v>
      </c>
      <c r="L820">
        <v>2.4149999999999707</v>
      </c>
      <c r="N820">
        <v>-1.4480361498647729E-3</v>
      </c>
      <c r="P820">
        <v>0.13503147593799492</v>
      </c>
      <c r="R820">
        <v>12.339589544834825</v>
      </c>
    </row>
    <row r="821" spans="1:18" x14ac:dyDescent="0.3">
      <c r="A821">
        <v>2.4099999999999708</v>
      </c>
      <c r="B821">
        <v>4.4000000000000002E-6</v>
      </c>
      <c r="D821">
        <v>70.076263281098662</v>
      </c>
      <c r="F821">
        <v>5.8200822436420166E-4</v>
      </c>
      <c r="H821">
        <v>1.7119402135442043E-4</v>
      </c>
      <c r="J821">
        <v>140246.16429656479</v>
      </c>
      <c r="L821">
        <v>2.4099999999999708</v>
      </c>
      <c r="N821">
        <v>-1.4451261087429518E-3</v>
      </c>
      <c r="P821">
        <v>0.13477425181035135</v>
      </c>
      <c r="R821">
        <v>12.338443075611519</v>
      </c>
    </row>
    <row r="822" spans="1:18" x14ac:dyDescent="0.3">
      <c r="A822">
        <v>2.4049999999999709</v>
      </c>
      <c r="B822">
        <v>4.4000000000000002E-6</v>
      </c>
      <c r="D822">
        <v>70.076263281098662</v>
      </c>
      <c r="F822">
        <v>5.8200822436420166E-4</v>
      </c>
      <c r="H822">
        <v>1.7119402135442043E-4</v>
      </c>
      <c r="J822">
        <v>140246.16429656479</v>
      </c>
      <c r="L822">
        <v>2.4049999999999709</v>
      </c>
      <c r="N822">
        <v>-1.4422160676211308E-3</v>
      </c>
      <c r="P822">
        <v>0.13451698498633152</v>
      </c>
      <c r="R822">
        <v>12.337174479524133</v>
      </c>
    </row>
    <row r="823" spans="1:18" x14ac:dyDescent="0.3">
      <c r="A823">
        <v>2.399999999999971</v>
      </c>
      <c r="B823">
        <v>4.4000000000000002E-6</v>
      </c>
      <c r="D823">
        <v>70.076263281098662</v>
      </c>
      <c r="F823">
        <v>5.8200822436420166E-4</v>
      </c>
      <c r="H823">
        <v>1.7119402135442043E-4</v>
      </c>
      <c r="J823">
        <v>140246.16429656479</v>
      </c>
      <c r="L823">
        <v>2.399999999999971</v>
      </c>
      <c r="N823">
        <v>-1.4393060264993097E-3</v>
      </c>
      <c r="P823">
        <v>0.13425967537006017</v>
      </c>
      <c r="R823">
        <v>12.33577159873033</v>
      </c>
    </row>
    <row r="824" spans="1:18" x14ac:dyDescent="0.3">
      <c r="A824">
        <v>2.3949999999999712</v>
      </c>
      <c r="B824">
        <v>4.4000000000000002E-6</v>
      </c>
      <c r="D824">
        <v>70.076263281098662</v>
      </c>
      <c r="F824">
        <v>5.8200822436420166E-4</v>
      </c>
      <c r="H824">
        <v>1.7119402135442043E-4</v>
      </c>
      <c r="J824">
        <v>140246.16429656479</v>
      </c>
      <c r="L824">
        <v>2.3949999999999712</v>
      </c>
      <c r="N824">
        <v>-1.4363959853774886E-3</v>
      </c>
      <c r="P824">
        <v>0.13400232286524655</v>
      </c>
      <c r="R824">
        <v>12.334221173935779</v>
      </c>
    </row>
    <row r="825" spans="1:18" x14ac:dyDescent="0.3">
      <c r="A825">
        <v>2.3899999999999713</v>
      </c>
      <c r="B825">
        <v>4.4000000000000002E-6</v>
      </c>
      <c r="D825">
        <v>70.076263281098662</v>
      </c>
      <c r="F825">
        <v>5.8200822436420166E-4</v>
      </c>
      <c r="H825">
        <v>1.7119402135442043E-4</v>
      </c>
      <c r="J825">
        <v>140246.16429656479</v>
      </c>
      <c r="L825">
        <v>2.3899999999999713</v>
      </c>
      <c r="N825">
        <v>-1.4334859442556675E-3</v>
      </c>
      <c r="P825">
        <v>0.13374492737518176</v>
      </c>
      <c r="R825">
        <v>12.33250875814878</v>
      </c>
    </row>
    <row r="826" spans="1:18" x14ac:dyDescent="0.3">
      <c r="A826">
        <v>2.3849999999999714</v>
      </c>
      <c r="B826">
        <v>4.4000000000000002E-6</v>
      </c>
      <c r="D826">
        <v>70.076263281098662</v>
      </c>
      <c r="F826">
        <v>5.8200822436420166E-4</v>
      </c>
      <c r="H826">
        <v>1.7119402135442043E-4</v>
      </c>
      <c r="J826">
        <v>140246.16429656479</v>
      </c>
      <c r="L826">
        <v>2.3849999999999714</v>
      </c>
      <c r="N826">
        <v>-1.4305759031338465E-3</v>
      </c>
      <c r="P826">
        <v>0.13348748880273609</v>
      </c>
      <c r="R826">
        <v>12.330618625334472</v>
      </c>
    </row>
    <row r="827" spans="1:18" x14ac:dyDescent="0.3">
      <c r="A827">
        <v>2.3799999999999715</v>
      </c>
      <c r="B827">
        <v>4.4000000000000002E-6</v>
      </c>
      <c r="D827">
        <v>70.076263281098662</v>
      </c>
      <c r="F827">
        <v>5.8200822436420166E-4</v>
      </c>
      <c r="H827">
        <v>1.7119402135442043E-4</v>
      </c>
      <c r="J827">
        <v>140246.16429656479</v>
      </c>
      <c r="L827">
        <v>2.3799999999999715</v>
      </c>
      <c r="N827">
        <v>-1.4276658620120254E-3</v>
      </c>
      <c r="P827">
        <v>0.13323000705035615</v>
      </c>
      <c r="R827">
        <v>12.328533673871805</v>
      </c>
    </row>
    <row r="828" spans="1:18" x14ac:dyDescent="0.3">
      <c r="A828">
        <v>2.3749999999999716</v>
      </c>
      <c r="B828">
        <v>4.4000000000000002E-6</v>
      </c>
      <c r="D828">
        <v>70.076263281098662</v>
      </c>
      <c r="F828">
        <v>5.8200822436420166E-4</v>
      </c>
      <c r="H828">
        <v>1.7119402135442043E-4</v>
      </c>
      <c r="J828">
        <v>140246.16429656479</v>
      </c>
      <c r="L828">
        <v>2.3749999999999716</v>
      </c>
      <c r="N828">
        <v>-1.4247558208902043E-3</v>
      </c>
      <c r="P828">
        <v>0.13297248202006232</v>
      </c>
      <c r="R828">
        <v>12.326235324744168</v>
      </c>
    </row>
    <row r="829" spans="1:18" x14ac:dyDescent="0.3">
      <c r="A829">
        <v>2.3699999999999717</v>
      </c>
      <c r="B829">
        <v>4.4000000000000002E-6</v>
      </c>
      <c r="D829">
        <v>70.076263281098662</v>
      </c>
      <c r="F829">
        <v>5.8200822436420166E-4</v>
      </c>
      <c r="H829">
        <v>1.7119402135442043E-4</v>
      </c>
      <c r="J829">
        <v>140246.16429656479</v>
      </c>
      <c r="L829">
        <v>2.3699999999999717</v>
      </c>
      <c r="N829">
        <v>-1.4218457797683832E-3</v>
      </c>
      <c r="P829">
        <v>0.13271491361344584</v>
      </c>
      <c r="R829">
        <v>12.323703414427019</v>
      </c>
    </row>
    <row r="830" spans="1:18" x14ac:dyDescent="0.3">
      <c r="A830">
        <v>2.3649999999999718</v>
      </c>
      <c r="B830">
        <v>4.4000000000000002E-6</v>
      </c>
      <c r="D830">
        <v>70.076263281098662</v>
      </c>
      <c r="F830">
        <v>5.8200822436420166E-4</v>
      </c>
      <c r="H830">
        <v>1.7119402135442043E-4</v>
      </c>
      <c r="J830">
        <v>140246.16429656479</v>
      </c>
      <c r="L830">
        <v>2.3649999999999718</v>
      </c>
      <c r="N830">
        <v>-1.4189357386465622E-3</v>
      </c>
      <c r="P830">
        <v>0.13245730173166609</v>
      </c>
      <c r="R830">
        <v>12.320916082473561</v>
      </c>
    </row>
    <row r="831" spans="1:18" x14ac:dyDescent="0.3">
      <c r="A831">
        <v>2.3599999999999719</v>
      </c>
      <c r="B831">
        <v>4.4000000000000002E-6</v>
      </c>
      <c r="D831">
        <v>70.076263281098662</v>
      </c>
      <c r="F831">
        <v>5.8200822436420166E-4</v>
      </c>
      <c r="H831">
        <v>1.7119402135442043E-4</v>
      </c>
      <c r="J831">
        <v>140246.16429656479</v>
      </c>
      <c r="L831">
        <v>2.3599999999999719</v>
      </c>
      <c r="N831">
        <v>-1.4160256975247411E-3</v>
      </c>
      <c r="P831">
        <v>0.13219964627544781</v>
      </c>
      <c r="R831">
        <v>12.31784965384268</v>
      </c>
    </row>
    <row r="832" spans="1:18" x14ac:dyDescent="0.3">
      <c r="A832">
        <v>2.354999999999972</v>
      </c>
      <c r="B832">
        <v>4.4000000000000002E-6</v>
      </c>
      <c r="D832">
        <v>70.076263281098662</v>
      </c>
      <c r="F832">
        <v>5.8200822436420166E-4</v>
      </c>
      <c r="H832">
        <v>1.7119402135442043E-4</v>
      </c>
      <c r="J832">
        <v>140246.16429656479</v>
      </c>
      <c r="L832">
        <v>2.354999999999972</v>
      </c>
      <c r="N832">
        <v>-1.41311565640292E-3</v>
      </c>
      <c r="P832">
        <v>0.13194194714507812</v>
      </c>
      <c r="R832">
        <v>12.314478516062497</v>
      </c>
    </row>
    <row r="833" spans="1:18" x14ac:dyDescent="0.3">
      <c r="A833">
        <v>2.3499999999999721</v>
      </c>
      <c r="B833">
        <v>4.4000000000000002E-6</v>
      </c>
      <c r="D833">
        <v>70.076263281098662</v>
      </c>
      <c r="F833">
        <v>5.8200822436420166E-4</v>
      </c>
      <c r="H833">
        <v>1.7119402135442043E-4</v>
      </c>
      <c r="J833">
        <v>140246.16429656479</v>
      </c>
      <c r="L833">
        <v>2.3499999999999721</v>
      </c>
      <c r="N833">
        <v>-1.410205615281099E-3</v>
      </c>
      <c r="P833">
        <v>0.13168420424040386</v>
      </c>
      <c r="R833">
        <v>12.310774991378326</v>
      </c>
    </row>
    <row r="834" spans="1:18" x14ac:dyDescent="0.3">
      <c r="A834">
        <v>2.3449999999999722</v>
      </c>
      <c r="B834">
        <v>4.4000000000000002E-6</v>
      </c>
      <c r="D834">
        <v>70.076263281098662</v>
      </c>
      <c r="F834">
        <v>5.8200822436420166E-4</v>
      </c>
      <c r="H834">
        <v>1.7119402135442043E-4</v>
      </c>
      <c r="J834">
        <v>140246.16429656479</v>
      </c>
      <c r="L834">
        <v>2.3449999999999722</v>
      </c>
      <c r="N834">
        <v>-1.4072955741592779E-3</v>
      </c>
      <c r="P834">
        <v>0.13142641746082853</v>
      </c>
      <c r="R834">
        <v>12.306709204095865</v>
      </c>
    </row>
    <row r="835" spans="1:18" x14ac:dyDescent="0.3">
      <c r="A835">
        <v>2.3399999999999723</v>
      </c>
      <c r="B835">
        <v>4.4000000000000002E-6</v>
      </c>
      <c r="D835">
        <v>70.076263281098662</v>
      </c>
      <c r="F835">
        <v>5.8200822436420166E-4</v>
      </c>
      <c r="H835">
        <v>1.7119402135442043E-4</v>
      </c>
      <c r="J835">
        <v>140246.16429656479</v>
      </c>
      <c r="L835">
        <v>2.3399999999999723</v>
      </c>
      <c r="N835">
        <v>-1.4043855330374568E-3</v>
      </c>
      <c r="P835">
        <v>0.13116858670530948</v>
      </c>
      <c r="R835">
        <v>12.302248943399483</v>
      </c>
    </row>
    <row r="836" spans="1:18" x14ac:dyDescent="0.3">
      <c r="A836">
        <v>2.3349999999999724</v>
      </c>
      <c r="B836">
        <v>4.4000000000000002E-6</v>
      </c>
      <c r="D836">
        <v>70.076263281098662</v>
      </c>
      <c r="F836">
        <v>5.8200822436420166E-4</v>
      </c>
      <c r="H836">
        <v>1.7119402135442043E-4</v>
      </c>
      <c r="J836">
        <v>140246.16429656479</v>
      </c>
      <c r="L836">
        <v>2.3349999999999724</v>
      </c>
      <c r="N836">
        <v>-1.4014754919156357E-3</v>
      </c>
      <c r="P836">
        <v>0.13091071187235492</v>
      </c>
      <c r="R836">
        <v>12.297359522001615</v>
      </c>
    </row>
    <row r="837" spans="1:18" x14ac:dyDescent="0.3">
      <c r="A837">
        <v>2.3299999999999725</v>
      </c>
      <c r="B837">
        <v>4.4000000000000002E-6</v>
      </c>
      <c r="D837">
        <v>70.076263281098662</v>
      </c>
      <c r="F837">
        <v>5.8200822436420166E-4</v>
      </c>
      <c r="H837">
        <v>1.7119402135442043E-4</v>
      </c>
      <c r="J837">
        <v>140246.16429656479</v>
      </c>
      <c r="L837">
        <v>2.3299999999999725</v>
      </c>
      <c r="N837">
        <v>-1.3985654507938147E-3</v>
      </c>
      <c r="P837">
        <v>0.13065279286002099</v>
      </c>
      <c r="R837">
        <v>12.292003631062995</v>
      </c>
    </row>
    <row r="838" spans="1:18" x14ac:dyDescent="0.3">
      <c r="A838">
        <v>2.3249999999999726</v>
      </c>
      <c r="B838">
        <v>4.4000000000000002E-6</v>
      </c>
      <c r="D838">
        <v>70.076263281098662</v>
      </c>
      <c r="F838">
        <v>5.8200822436420166E-4</v>
      </c>
      <c r="H838">
        <v>1.7119402135442043E-4</v>
      </c>
      <c r="J838">
        <v>140246.16429656479</v>
      </c>
      <c r="L838">
        <v>2.3249999999999726</v>
      </c>
      <c r="N838">
        <v>-1.3956554096719936E-3</v>
      </c>
      <c r="P838">
        <v>0.13039482956590881</v>
      </c>
      <c r="R838">
        <v>12.286141191914636</v>
      </c>
    </row>
    <row r="839" spans="1:18" x14ac:dyDescent="0.3">
      <c r="A839">
        <v>2.3199999999999728</v>
      </c>
      <c r="B839">
        <v>4.4000000000000002E-6</v>
      </c>
      <c r="D839">
        <v>70.076263281098662</v>
      </c>
      <c r="F839">
        <v>5.8200822436420166E-4</v>
      </c>
      <c r="H839">
        <v>1.7119402135442043E-4</v>
      </c>
      <c r="J839">
        <v>140246.16429656479</v>
      </c>
      <c r="L839">
        <v>2.3199999999999728</v>
      </c>
      <c r="N839">
        <v>-1.3927453685501725E-3</v>
      </c>
      <c r="P839">
        <v>0.1301368218871613</v>
      </c>
      <c r="R839">
        <v>12.279729205211416</v>
      </c>
    </row>
    <row r="840" spans="1:18" x14ac:dyDescent="0.3">
      <c r="A840">
        <v>2.3149999999999729</v>
      </c>
      <c r="B840">
        <v>4.4000000000000002E-6</v>
      </c>
      <c r="D840">
        <v>70.076263281098662</v>
      </c>
      <c r="F840">
        <v>5.8200822436420166E-4</v>
      </c>
      <c r="H840">
        <v>1.7119402135442043E-4</v>
      </c>
      <c r="J840">
        <v>140246.16429656479</v>
      </c>
      <c r="L840">
        <v>2.3149999999999729</v>
      </c>
      <c r="N840">
        <v>-1.3898353274283514E-3</v>
      </c>
      <c r="P840">
        <v>0.12987876972046042</v>
      </c>
      <c r="R840">
        <v>12.272721598253689</v>
      </c>
    </row>
    <row r="841" spans="1:18" x14ac:dyDescent="0.3">
      <c r="A841">
        <v>2.309999999999973</v>
      </c>
      <c r="B841">
        <v>4.4000000000000002E-6</v>
      </c>
      <c r="D841">
        <v>70.076263281098662</v>
      </c>
      <c r="F841">
        <v>5.8200822436420166E-4</v>
      </c>
      <c r="H841">
        <v>1.7119402135442043E-4</v>
      </c>
      <c r="J841">
        <v>140246.16429656479</v>
      </c>
      <c r="L841">
        <v>2.309999999999973</v>
      </c>
      <c r="N841">
        <v>-1.3869252863065304E-3</v>
      </c>
      <c r="P841">
        <v>0.12962067296202379</v>
      </c>
      <c r="R841">
        <v>12.265069071327527</v>
      </c>
    </row>
    <row r="842" spans="1:18" x14ac:dyDescent="0.3">
      <c r="A842">
        <v>2.3049999999999731</v>
      </c>
      <c r="B842">
        <v>4.4000000000000002E-6</v>
      </c>
      <c r="D842">
        <v>70.076263281098662</v>
      </c>
      <c r="F842">
        <v>5.8200822436420166E-4</v>
      </c>
      <c r="H842">
        <v>1.7119402135442043E-4</v>
      </c>
      <c r="J842">
        <v>140246.16429656479</v>
      </c>
      <c r="L842">
        <v>2.3049999999999731</v>
      </c>
      <c r="N842">
        <v>-1.3840152451847093E-3</v>
      </c>
      <c r="P842">
        <v>0.1293625315076018</v>
      </c>
      <c r="R842">
        <v>12.25671894403566</v>
      </c>
    </row>
    <row r="843" spans="1:18" x14ac:dyDescent="0.3">
      <c r="A843">
        <v>2.2999999999999732</v>
      </c>
      <c r="B843">
        <v>4.4000000000000002E-6</v>
      </c>
      <c r="D843">
        <v>70.076263281098662</v>
      </c>
      <c r="F843">
        <v>5.8200822436420166E-4</v>
      </c>
      <c r="H843">
        <v>1.7119402135442043E-4</v>
      </c>
      <c r="J843">
        <v>140246.16429656479</v>
      </c>
      <c r="L843">
        <v>2.2999999999999732</v>
      </c>
      <c r="N843">
        <v>-1.3811052040628882E-3</v>
      </c>
      <c r="P843">
        <v>0.12910434525247444</v>
      </c>
      <c r="R843">
        <v>12.247615002719735</v>
      </c>
    </row>
    <row r="844" spans="1:18" x14ac:dyDescent="0.3">
      <c r="A844">
        <v>2.2949999999999733</v>
      </c>
      <c r="B844">
        <v>4.4000000000000002E-6</v>
      </c>
      <c r="D844">
        <v>70.076263281098662</v>
      </c>
      <c r="F844">
        <v>5.8200822436420166E-4</v>
      </c>
      <c r="H844">
        <v>1.7119402135442043E-4</v>
      </c>
      <c r="J844">
        <v>140246.16429656479</v>
      </c>
      <c r="L844">
        <v>2.2949999999999733</v>
      </c>
      <c r="N844">
        <v>-1.3781951629410671E-3</v>
      </c>
      <c r="P844">
        <v>0.12884611409144811</v>
      </c>
      <c r="R844">
        <v>12.237697350209489</v>
      </c>
    </row>
    <row r="845" spans="1:18" x14ac:dyDescent="0.3">
      <c r="A845">
        <v>2.2899999999999734</v>
      </c>
      <c r="B845">
        <v>4.4000000000000002E-6</v>
      </c>
      <c r="D845">
        <v>70.076263281098662</v>
      </c>
      <c r="F845">
        <v>5.8200822436420166E-4</v>
      </c>
      <c r="H845">
        <v>1.7119402135442043E-4</v>
      </c>
      <c r="J845">
        <v>140246.16429656479</v>
      </c>
      <c r="L845">
        <v>2.2899999999999734</v>
      </c>
      <c r="N845">
        <v>-1.3752851218192461E-3</v>
      </c>
      <c r="P845">
        <v>0.12858783791885253</v>
      </c>
      <c r="R845">
        <v>12.226902259275246</v>
      </c>
    </row>
    <row r="846" spans="1:18" x14ac:dyDescent="0.3">
      <c r="A846">
        <v>2.2849999999999735</v>
      </c>
      <c r="B846">
        <v>4.4000000000000002E-6</v>
      </c>
      <c r="D846">
        <v>70.076263281098662</v>
      </c>
      <c r="F846">
        <v>5.8200822436420166E-4</v>
      </c>
      <c r="H846">
        <v>1.7119402135442043E-4</v>
      </c>
      <c r="J846">
        <v>140246.16429656479</v>
      </c>
      <c r="L846">
        <v>2.2849999999999735</v>
      </c>
      <c r="N846">
        <v>-1.372375080697425E-3</v>
      </c>
      <c r="P846">
        <v>0.12832951662853748</v>
      </c>
      <c r="R846">
        <v>12.215162031306033</v>
      </c>
    </row>
    <row r="847" spans="1:18" x14ac:dyDescent="0.3">
      <c r="A847">
        <v>2.2799999999999736</v>
      </c>
      <c r="B847">
        <v>4.4000000000000002E-6</v>
      </c>
      <c r="D847">
        <v>70.076263281098662</v>
      </c>
      <c r="F847">
        <v>5.8200822436420166E-4</v>
      </c>
      <c r="H847">
        <v>1.7119402135442043E-4</v>
      </c>
      <c r="J847">
        <v>140246.16429656479</v>
      </c>
      <c r="L847">
        <v>2.2799999999999736</v>
      </c>
      <c r="N847">
        <v>-1.3694650395756039E-3</v>
      </c>
      <c r="P847">
        <v>0.12807115011386944</v>
      </c>
      <c r="R847">
        <v>12.202404861885357</v>
      </c>
    </row>
    <row r="848" spans="1:18" x14ac:dyDescent="0.3">
      <c r="A848">
        <v>2.2749999999999737</v>
      </c>
      <c r="B848">
        <v>4.4000000000000002E-6</v>
      </c>
      <c r="D848">
        <v>70.076263281098662</v>
      </c>
      <c r="F848">
        <v>5.8200822436420166E-4</v>
      </c>
      <c r="H848">
        <v>1.7119402135442043E-4</v>
      </c>
      <c r="J848">
        <v>140246.16429656479</v>
      </c>
      <c r="L848">
        <v>2.2749999999999737</v>
      </c>
      <c r="N848">
        <v>-1.3665549984537828E-3</v>
      </c>
      <c r="P848">
        <v>0.1278127382677286</v>
      </c>
      <c r="R848">
        <v>12.1885547150892</v>
      </c>
    </row>
    <row r="849" spans="1:18" x14ac:dyDescent="0.3">
      <c r="A849">
        <v>2.2699999999999738</v>
      </c>
      <c r="B849">
        <v>4.4000000000000002E-6</v>
      </c>
      <c r="D849">
        <v>70.076263281098662</v>
      </c>
      <c r="F849">
        <v>5.8200822436420166E-4</v>
      </c>
      <c r="H849">
        <v>1.7119402135442043E-4</v>
      </c>
      <c r="J849">
        <v>140246.16429656479</v>
      </c>
      <c r="L849">
        <v>2.2699999999999738</v>
      </c>
      <c r="N849">
        <v>-1.3636449573319618E-3</v>
      </c>
      <c r="P849">
        <v>0.12755428098250529</v>
      </c>
      <c r="R849">
        <v>12.173531208484553</v>
      </c>
    </row>
    <row r="850" spans="1:18" x14ac:dyDescent="0.3">
      <c r="A850">
        <v>2.2649999999999739</v>
      </c>
      <c r="B850">
        <v>4.4000000000000002E-6</v>
      </c>
      <c r="D850">
        <v>70.076263281098662</v>
      </c>
      <c r="F850">
        <v>5.8200822436420166E-4</v>
      </c>
      <c r="H850">
        <v>1.7119402135442043E-4</v>
      </c>
      <c r="J850">
        <v>140246.16429656479</v>
      </c>
      <c r="L850">
        <v>2.2649999999999739</v>
      </c>
      <c r="N850">
        <v>-1.3607349162101407E-3</v>
      </c>
      <c r="P850">
        <v>0.12729577815009685</v>
      </c>
      <c r="R850">
        <v>12.15724951096011</v>
      </c>
    </row>
    <row r="851" spans="1:18" x14ac:dyDescent="0.3">
      <c r="A851">
        <v>2.259999999999974</v>
      </c>
      <c r="B851">
        <v>4.4000000000000002E-6</v>
      </c>
      <c r="D851">
        <v>70.076263281098662</v>
      </c>
      <c r="F851">
        <v>5.8200822436420166E-4</v>
      </c>
      <c r="H851">
        <v>1.7119402135442043E-4</v>
      </c>
      <c r="J851">
        <v>140246.16429656479</v>
      </c>
      <c r="L851">
        <v>2.259999999999974</v>
      </c>
      <c r="N851">
        <v>-1.3578248750883196E-3</v>
      </c>
      <c r="P851">
        <v>0.12703722966190423</v>
      </c>
      <c r="R851">
        <v>12.139620255671641</v>
      </c>
    </row>
    <row r="852" spans="1:18" x14ac:dyDescent="0.3">
      <c r="A852">
        <v>2.2549999999999741</v>
      </c>
      <c r="B852">
        <v>4.4000000000000002E-6</v>
      </c>
      <c r="D852">
        <v>70.076263281098662</v>
      </c>
      <c r="F852">
        <v>5.8200822436420166E-4</v>
      </c>
      <c r="H852">
        <v>1.7119402135442043E-4</v>
      </c>
      <c r="J852">
        <v>140246.16429656479</v>
      </c>
      <c r="L852">
        <v>2.2549999999999741</v>
      </c>
      <c r="N852">
        <v>-1.3549148339664985E-3</v>
      </c>
      <c r="P852">
        <v>0.12677863540882855</v>
      </c>
      <c r="R852">
        <v>12.120549470530893</v>
      </c>
    </row>
    <row r="853" spans="1:18" x14ac:dyDescent="0.3">
      <c r="A853">
        <v>2.2499999999999742</v>
      </c>
      <c r="B853">
        <v>4.4000000000000002E-6</v>
      </c>
      <c r="D853">
        <v>70.076263281098662</v>
      </c>
      <c r="F853">
        <v>5.8200822436420166E-4</v>
      </c>
      <c r="H853">
        <v>1.7119402135442043E-4</v>
      </c>
      <c r="J853">
        <v>140246.16429656479</v>
      </c>
      <c r="L853">
        <v>2.2499999999999742</v>
      </c>
      <c r="N853">
        <v>-1.3520047928446775E-3</v>
      </c>
      <c r="P853">
        <v>0.1265199952812677</v>
      </c>
      <c r="R853">
        <v>12.099938528806142</v>
      </c>
    </row>
    <row r="854" spans="1:18" x14ac:dyDescent="0.3">
      <c r="A854">
        <v>2.2449999999999743</v>
      </c>
      <c r="B854">
        <v>4.4000000000000002E-6</v>
      </c>
      <c r="D854">
        <v>70.076263281098662</v>
      </c>
      <c r="F854">
        <v>5.8200822436420166E-4</v>
      </c>
      <c r="H854">
        <v>1.7119402135442043E-4</v>
      </c>
      <c r="J854">
        <v>140246.16429656479</v>
      </c>
      <c r="L854">
        <v>2.2449999999999743</v>
      </c>
      <c r="N854">
        <v>-1.3490947517228564E-3</v>
      </c>
      <c r="P854">
        <v>0.12626130916911302</v>
      </c>
      <c r="R854">
        <v>12.077684122532077</v>
      </c>
    </row>
    <row r="855" spans="1:18" x14ac:dyDescent="0.3">
      <c r="A855">
        <v>2.2399999999999745</v>
      </c>
      <c r="B855">
        <v>4.4000000000000002E-6</v>
      </c>
      <c r="D855">
        <v>70.076263281098662</v>
      </c>
      <c r="F855">
        <v>5.8200822436420166E-4</v>
      </c>
      <c r="H855">
        <v>1.7119402135442043E-4</v>
      </c>
      <c r="J855">
        <v>140246.16429656479</v>
      </c>
      <c r="L855">
        <v>2.2399999999999745</v>
      </c>
      <c r="N855">
        <v>-1.3461847106010353E-3</v>
      </c>
      <c r="P855">
        <v>0.12600257696174558</v>
      </c>
      <c r="R855">
        <v>12.053678261543531</v>
      </c>
    </row>
    <row r="856" spans="1:18" x14ac:dyDescent="0.3">
      <c r="A856">
        <v>2.2349999999999746</v>
      </c>
      <c r="B856">
        <v>4.4000000000000002E-6</v>
      </c>
      <c r="D856">
        <v>70.076263281098662</v>
      </c>
      <c r="F856">
        <v>5.8200822436420166E-4</v>
      </c>
      <c r="H856">
        <v>1.7119402135442043E-4</v>
      </c>
      <c r="J856">
        <v>140246.16429656479</v>
      </c>
      <c r="L856">
        <v>2.2349999999999746</v>
      </c>
      <c r="N856">
        <v>-1.3432746694792142E-3</v>
      </c>
      <c r="P856">
        <v>0.12574379854803286</v>
      </c>
      <c r="R856">
        <v>12.027808301048571</v>
      </c>
    </row>
    <row r="857" spans="1:18" x14ac:dyDescent="0.3">
      <c r="A857">
        <v>2.2299999999999747</v>
      </c>
      <c r="B857">
        <v>4.4000000000000002E-6</v>
      </c>
      <c r="D857">
        <v>70.076263281098662</v>
      </c>
      <c r="F857">
        <v>5.8200822436420166E-4</v>
      </c>
      <c r="H857">
        <v>1.7119402135442043E-4</v>
      </c>
      <c r="J857">
        <v>140246.16429656479</v>
      </c>
      <c r="L857">
        <v>2.2299999999999747</v>
      </c>
      <c r="N857">
        <v>-1.3403646283573932E-3</v>
      </c>
      <c r="P857">
        <v>0.12548497381632526</v>
      </c>
      <c r="R857">
        <v>11.999957000738142</v>
      </c>
    </row>
    <row r="858" spans="1:18" x14ac:dyDescent="0.3">
      <c r="A858">
        <v>2.2249999999999748</v>
      </c>
      <c r="B858">
        <v>4.4000000000000002E-6</v>
      </c>
      <c r="D858">
        <v>70.076263281098662</v>
      </c>
      <c r="F858">
        <v>5.8200822436420166E-4</v>
      </c>
      <c r="H858">
        <v>1.7119402135442043E-4</v>
      </c>
      <c r="J858">
        <v>140246.16429656479</v>
      </c>
      <c r="L858">
        <v>2.2249999999999748</v>
      </c>
      <c r="N858">
        <v>-1.3374545872355721E-3</v>
      </c>
      <c r="P858">
        <v>0.12522610265445233</v>
      </c>
      <c r="R858">
        <v>11.970002618488241</v>
      </c>
    </row>
    <row r="859" spans="1:18" x14ac:dyDescent="0.3">
      <c r="A859">
        <v>2.2199999999999749</v>
      </c>
      <c r="B859">
        <v>4.4000000000000002E-6</v>
      </c>
      <c r="D859">
        <v>70.076263281098662</v>
      </c>
      <c r="F859">
        <v>5.8200822436420166E-4</v>
      </c>
      <c r="H859">
        <v>1.7119402135442043E-4</v>
      </c>
      <c r="J859">
        <v>140246.16429656479</v>
      </c>
      <c r="L859">
        <v>2.2199999999999749</v>
      </c>
      <c r="N859">
        <v>-1.334544546113751E-3</v>
      </c>
      <c r="P859">
        <v>0.12496718494971935</v>
      </c>
      <c r="R859">
        <v>11.937819041742694</v>
      </c>
    </row>
    <row r="860" spans="1:18" x14ac:dyDescent="0.3">
      <c r="A860">
        <v>2.214999999999975</v>
      </c>
      <c r="B860">
        <v>4.4000000000000002E-6</v>
      </c>
      <c r="D860">
        <v>70.076263281098662</v>
      </c>
      <c r="F860">
        <v>5.8200822436420166E-4</v>
      </c>
      <c r="H860">
        <v>1.7119402135442043E-4</v>
      </c>
      <c r="J860">
        <v>140246.16429656479</v>
      </c>
      <c r="L860">
        <v>2.214999999999975</v>
      </c>
      <c r="N860">
        <v>-1.3316345049919299E-3</v>
      </c>
      <c r="P860">
        <v>0.12470822058890353</v>
      </c>
      <c r="R860">
        <v>11.903275959666097</v>
      </c>
    </row>
    <row r="861" spans="1:18" x14ac:dyDescent="0.3">
      <c r="A861">
        <v>2.2099999999999751</v>
      </c>
      <c r="B861">
        <v>4.4000000000000002E-6</v>
      </c>
      <c r="D861">
        <v>70.076263281098662</v>
      </c>
      <c r="F861">
        <v>5.8200822436420166E-4</v>
      </c>
      <c r="H861">
        <v>1.7119402135442043E-4</v>
      </c>
      <c r="J861">
        <v>140246.16429656479</v>
      </c>
      <c r="L861">
        <v>2.2099999999999751</v>
      </c>
      <c r="N861">
        <v>-1.3287244638701089E-3</v>
      </c>
      <c r="P861">
        <v>0.12444920945825044</v>
      </c>
      <c r="R861">
        <v>11.866239079123345</v>
      </c>
    </row>
    <row r="862" spans="1:18" x14ac:dyDescent="0.3">
      <c r="A862">
        <v>2.2049999999999752</v>
      </c>
      <c r="B862">
        <v>4.4000000000000002E-6</v>
      </c>
      <c r="D862">
        <v>70.076263281098662</v>
      </c>
      <c r="F862">
        <v>5.8200822436420166E-4</v>
      </c>
      <c r="H862">
        <v>1.7119402135442043E-4</v>
      </c>
      <c r="J862">
        <v>140246.16429656479</v>
      </c>
      <c r="L862">
        <v>2.2049999999999752</v>
      </c>
      <c r="N862">
        <v>-1.3258144227482878E-3</v>
      </c>
      <c r="P862">
        <v>0.12419015144347033</v>
      </c>
      <c r="R862">
        <v>11.826570387470378</v>
      </c>
    </row>
    <row r="863" spans="1:18" x14ac:dyDescent="0.3">
      <c r="A863">
        <v>2.1999999999999753</v>
      </c>
      <c r="B863">
        <v>4.4000000000000002E-6</v>
      </c>
      <c r="D863">
        <v>70.076263281098662</v>
      </c>
      <c r="F863">
        <v>5.8200822436420166E-4</v>
      </c>
      <c r="H863">
        <v>1.7119402135442043E-4</v>
      </c>
      <c r="J863">
        <v>140246.16429656479</v>
      </c>
      <c r="L863">
        <v>2.1999999999999753</v>
      </c>
      <c r="N863">
        <v>-1.3229043816264667E-3</v>
      </c>
      <c r="P863">
        <v>0.12393104642973428</v>
      </c>
      <c r="R863">
        <v>11.78412846502628</v>
      </c>
    </row>
    <row r="864" spans="1:18" x14ac:dyDescent="0.3">
      <c r="A864">
        <v>2.1949999999999754</v>
      </c>
      <c r="B864">
        <v>4.4000000000000002E-6</v>
      </c>
      <c r="D864">
        <v>70.076263281098662</v>
      </c>
      <c r="F864">
        <v>5.8200822436420166E-4</v>
      </c>
      <c r="H864">
        <v>1.7119402135442043E-4</v>
      </c>
      <c r="J864">
        <v>140246.16429656479</v>
      </c>
      <c r="L864">
        <v>2.1949999999999754</v>
      </c>
      <c r="N864">
        <v>-1.3199943405046456E-3</v>
      </c>
      <c r="P864">
        <v>0.1236718943016706</v>
      </c>
      <c r="R864">
        <v>11.738768849935767</v>
      </c>
    </row>
    <row r="865" spans="1:18" x14ac:dyDescent="0.3">
      <c r="A865">
        <v>2.1899999999999755</v>
      </c>
      <c r="B865">
        <v>4.4000000000000002E-6</v>
      </c>
      <c r="D865">
        <v>70.076263281098662</v>
      </c>
      <c r="F865">
        <v>5.8200822436420166E-4</v>
      </c>
      <c r="H865">
        <v>1.7119402135442043E-4</v>
      </c>
      <c r="J865">
        <v>140246.16429656479</v>
      </c>
      <c r="L865">
        <v>2.1899999999999755</v>
      </c>
      <c r="N865">
        <v>-1.3170842993828246E-3</v>
      </c>
      <c r="P865">
        <v>0.12341269494336077</v>
      </c>
      <c r="R865">
        <v>11.690344457919625</v>
      </c>
    </row>
    <row r="866" spans="1:18" x14ac:dyDescent="0.3">
      <c r="A866">
        <v>2.1849999999999756</v>
      </c>
      <c r="B866">
        <v>4.4000000000000002E-6</v>
      </c>
      <c r="D866">
        <v>70.076263281098662</v>
      </c>
      <c r="F866">
        <v>5.8200822436420166E-4</v>
      </c>
      <c r="H866">
        <v>1.7119402135442043E-4</v>
      </c>
      <c r="J866">
        <v>140246.16429656479</v>
      </c>
      <c r="L866">
        <v>2.1849999999999756</v>
      </c>
      <c r="N866">
        <v>-1.3141742582610035E-3</v>
      </c>
      <c r="P866">
        <v>0.12315344823833586</v>
      </c>
      <c r="R866">
        <v>11.638706059145386</v>
      </c>
    </row>
    <row r="867" spans="1:18" x14ac:dyDescent="0.3">
      <c r="A867">
        <v>2.1799999999999757</v>
      </c>
      <c r="B867">
        <v>4.4000000000000002E-6</v>
      </c>
      <c r="D867">
        <v>70.076263281098662</v>
      </c>
      <c r="F867">
        <v>5.8200822436420166E-4</v>
      </c>
      <c r="H867">
        <v>1.7119402135442043E-4</v>
      </c>
      <c r="J867">
        <v>140246.16429656479</v>
      </c>
      <c r="L867">
        <v>2.1799999999999757</v>
      </c>
      <c r="N867">
        <v>-1.3112642171391824E-3</v>
      </c>
      <c r="P867">
        <v>0.12289415406957246</v>
      </c>
      <c r="R867">
        <v>11.583702814128168</v>
      </c>
    </row>
    <row r="868" spans="1:18" x14ac:dyDescent="0.3">
      <c r="A868">
        <v>2.1749999999999758</v>
      </c>
      <c r="B868">
        <v>4.4000000000000002E-6</v>
      </c>
      <c r="D868">
        <v>70.076263281098662</v>
      </c>
      <c r="F868">
        <v>5.8200822436420166E-4</v>
      </c>
      <c r="H868">
        <v>1.7119402135442043E-4</v>
      </c>
      <c r="J868">
        <v>140246.16429656479</v>
      </c>
      <c r="L868">
        <v>2.1749999999999758</v>
      </c>
      <c r="N868">
        <v>-1.3083541760173613E-3</v>
      </c>
      <c r="P868">
        <v>0.12263481231948886</v>
      </c>
      <c r="R868">
        <v>11.525182870189775</v>
      </c>
    </row>
    <row r="869" spans="1:18" x14ac:dyDescent="0.3">
      <c r="A869">
        <v>2.1699999999999759</v>
      </c>
      <c r="B869">
        <v>4.4000000000000002E-6</v>
      </c>
      <c r="D869">
        <v>70.076263281098662</v>
      </c>
      <c r="F869">
        <v>5.8200822436420166E-4</v>
      </c>
      <c r="H869">
        <v>1.7119402135442043E-4</v>
      </c>
      <c r="J869">
        <v>140246.16429656479</v>
      </c>
      <c r="L869">
        <v>2.1699999999999759</v>
      </c>
      <c r="N869">
        <v>-1.3054441348955403E-3</v>
      </c>
      <c r="P869">
        <v>0.12237542286994103</v>
      </c>
      <c r="R869">
        <v>11.462994019560435</v>
      </c>
    </row>
    <row r="870" spans="1:18" x14ac:dyDescent="0.3">
      <c r="A870">
        <v>2.1649999999999761</v>
      </c>
      <c r="B870">
        <v>4.4000000000000002E-6</v>
      </c>
      <c r="D870">
        <v>70.076263281098662</v>
      </c>
      <c r="F870">
        <v>5.8200822436420166E-4</v>
      </c>
      <c r="H870">
        <v>1.7119402135442043E-4</v>
      </c>
      <c r="J870">
        <v>140246.16429656479</v>
      </c>
      <c r="L870">
        <v>2.1649999999999761</v>
      </c>
      <c r="N870">
        <v>-1.3025340937737192E-3</v>
      </c>
      <c r="P870">
        <v>0.12211598560221872</v>
      </c>
      <c r="R870">
        <v>11.39698441970082</v>
      </c>
    </row>
    <row r="871" spans="1:18" x14ac:dyDescent="0.3">
      <c r="A871">
        <v>2.1599999999999762</v>
      </c>
      <c r="B871">
        <v>4.4000000000000002E-6</v>
      </c>
      <c r="D871">
        <v>70.076263281098662</v>
      </c>
      <c r="F871">
        <v>5.8200822436420166E-4</v>
      </c>
      <c r="H871">
        <v>1.7119402135442043E-4</v>
      </c>
      <c r="J871">
        <v>140246.16429656479</v>
      </c>
      <c r="L871">
        <v>2.1599999999999762</v>
      </c>
      <c r="N871">
        <v>-1.2996240526518981E-3</v>
      </c>
      <c r="P871">
        <v>0.1218565003970413</v>
      </c>
      <c r="R871">
        <v>11.32700337585147</v>
      </c>
    </row>
    <row r="872" spans="1:18" x14ac:dyDescent="0.3">
      <c r="A872">
        <v>2.1549999999999763</v>
      </c>
      <c r="B872">
        <v>4.4000000000000002E-6</v>
      </c>
      <c r="D872">
        <v>70.076263281098662</v>
      </c>
      <c r="F872">
        <v>5.8200822436420166E-4</v>
      </c>
      <c r="H872">
        <v>1.7119402135442043E-4</v>
      </c>
      <c r="J872">
        <v>140246.16429656479</v>
      </c>
      <c r="L872">
        <v>2.1549999999999763</v>
      </c>
      <c r="N872">
        <v>-1.296714011530077E-3</v>
      </c>
      <c r="P872">
        <v>0.12159696713455388</v>
      </c>
      <c r="R872">
        <v>11.252902185182869</v>
      </c>
    </row>
    <row r="873" spans="1:18" x14ac:dyDescent="0.3">
      <c r="A873">
        <v>2.1499999999999764</v>
      </c>
      <c r="B873">
        <v>4.4000000000000002E-6</v>
      </c>
      <c r="D873">
        <v>70.076263281098662</v>
      </c>
      <c r="F873">
        <v>5.8200822436420166E-4</v>
      </c>
      <c r="H873">
        <v>1.7119402135442043E-4</v>
      </c>
      <c r="J873">
        <v>140246.16429656479</v>
      </c>
      <c r="L873">
        <v>2.1499999999999764</v>
      </c>
      <c r="N873">
        <v>-1.293803970408256E-3</v>
      </c>
      <c r="P873">
        <v>0.12133738569432302</v>
      </c>
      <c r="R873">
        <v>11.174535041223416</v>
      </c>
    </row>
    <row r="874" spans="1:18" x14ac:dyDescent="0.3">
      <c r="A874">
        <v>2.1449999999999765</v>
      </c>
      <c r="B874">
        <v>4.4000000000000002E-6</v>
      </c>
      <c r="D874">
        <v>70.076263281098662</v>
      </c>
      <c r="F874">
        <v>5.8200822436420166E-4</v>
      </c>
      <c r="H874">
        <v>1.7119402135442043E-4</v>
      </c>
      <c r="J874">
        <v>140246.16429656479</v>
      </c>
      <c r="L874">
        <v>2.1449999999999765</v>
      </c>
      <c r="N874">
        <v>-1.2908939292864349E-3</v>
      </c>
      <c r="P874">
        <v>0.1210777559553327</v>
      </c>
      <c r="R874">
        <v>11.091759996487111</v>
      </c>
    </row>
    <row r="875" spans="1:18" x14ac:dyDescent="0.3">
      <c r="A875">
        <v>2.1399999999999766</v>
      </c>
      <c r="B875">
        <v>4.4000000000000002E-6</v>
      </c>
      <c r="D875">
        <v>70.076263281098662</v>
      </c>
      <c r="F875">
        <v>5.8200822436420166E-4</v>
      </c>
      <c r="H875">
        <v>1.7119402135442043E-4</v>
      </c>
      <c r="J875">
        <v>140246.16429656479</v>
      </c>
      <c r="L875">
        <v>2.1399999999999766</v>
      </c>
      <c r="N875">
        <v>-1.2879838881646138E-3</v>
      </c>
      <c r="P875">
        <v>0.12081807779598003</v>
      </c>
      <c r="R875">
        <v>11.004439980411455</v>
      </c>
    </row>
    <row r="876" spans="1:18" x14ac:dyDescent="0.3">
      <c r="A876">
        <v>2.1349999999999767</v>
      </c>
      <c r="B876">
        <v>4.4000000000000002E-6</v>
      </c>
      <c r="D876">
        <v>70.076263281098662</v>
      </c>
      <c r="F876">
        <v>5.8200822436420166E-4</v>
      </c>
      <c r="H876">
        <v>1.7119402135442043E-4</v>
      </c>
      <c r="J876">
        <v>140246.16429656479</v>
      </c>
      <c r="L876">
        <v>2.1349999999999767</v>
      </c>
      <c r="N876">
        <v>-1.2850738470427928E-3</v>
      </c>
      <c r="P876">
        <v>0.12055835109407115</v>
      </c>
      <c r="R876">
        <v>10.912443868854174</v>
      </c>
    </row>
    <row r="877" spans="1:18" x14ac:dyDescent="0.3">
      <c r="A877">
        <v>2.1299999999999768</v>
      </c>
      <c r="B877">
        <v>4.4000000000000002E-6</v>
      </c>
      <c r="D877">
        <v>70.076263281098662</v>
      </c>
      <c r="F877">
        <v>5.8200822436420166E-4</v>
      </c>
      <c r="H877">
        <v>1.7119402135442043E-4</v>
      </c>
      <c r="J877">
        <v>140246.16429656479</v>
      </c>
      <c r="L877">
        <v>2.1299999999999768</v>
      </c>
      <c r="N877">
        <v>-1.2821638059209717E-3</v>
      </c>
      <c r="P877">
        <v>0.12029857572681697</v>
      </c>
      <c r="R877">
        <v>10.815647600491326</v>
      </c>
    </row>
    <row r="878" spans="1:18" x14ac:dyDescent="0.3">
      <c r="A878">
        <v>2.1249999999999769</v>
      </c>
      <c r="B878">
        <v>4.4000000000000002E-6</v>
      </c>
      <c r="D878">
        <v>70.076263281098662</v>
      </c>
      <c r="F878">
        <v>5.8200822436420166E-4</v>
      </c>
      <c r="H878">
        <v>1.7119402135442043E-4</v>
      </c>
      <c r="J878">
        <v>140246.16429656479</v>
      </c>
      <c r="L878">
        <v>2.1249999999999769</v>
      </c>
      <c r="N878">
        <v>-1.2792537647991506E-3</v>
      </c>
      <c r="P878">
        <v>0.1200387515708287</v>
      </c>
      <c r="R878">
        <v>10.713935334517219</v>
      </c>
    </row>
    <row r="879" spans="1:18" x14ac:dyDescent="0.3">
      <c r="A879">
        <v>2.119999999999977</v>
      </c>
      <c r="B879">
        <v>4.4000000000000002E-6</v>
      </c>
      <c r="D879">
        <v>70.076263281098662</v>
      </c>
      <c r="F879">
        <v>5.8200822436420166E-4</v>
      </c>
      <c r="H879">
        <v>1.7119402135442043E-4</v>
      </c>
      <c r="J879">
        <v>140246.16429656479</v>
      </c>
      <c r="L879">
        <v>2.119999999999977</v>
      </c>
      <c r="N879">
        <v>-1.2763437236773295E-3</v>
      </c>
      <c r="P879">
        <v>0.11977887850211362</v>
      </c>
      <c r="R879">
        <v>10.607200643077913</v>
      </c>
    </row>
    <row r="880" spans="1:18" x14ac:dyDescent="0.3">
      <c r="A880">
        <v>2.1149999999999771</v>
      </c>
      <c r="B880">
        <v>4.4000000000000002E-6</v>
      </c>
      <c r="D880">
        <v>70.076263281098662</v>
      </c>
      <c r="F880">
        <v>5.8200822436420166E-4</v>
      </c>
      <c r="H880">
        <v>1.7119402135442043E-4</v>
      </c>
      <c r="J880">
        <v>140246.16429656479</v>
      </c>
      <c r="L880">
        <v>2.1149999999999771</v>
      </c>
      <c r="N880">
        <v>-1.2734336825555085E-3</v>
      </c>
      <c r="P880">
        <v>0.1195189563960708</v>
      </c>
      <c r="R880">
        <v>10.495347730886072</v>
      </c>
    </row>
    <row r="881" spans="1:18" x14ac:dyDescent="0.3">
      <c r="A881">
        <v>2.1099999999999772</v>
      </c>
      <c r="B881">
        <v>4.4000000000000002E-6</v>
      </c>
      <c r="D881">
        <v>70.076263281098662</v>
      </c>
      <c r="F881">
        <v>5.8200822436420166E-4</v>
      </c>
      <c r="H881">
        <v>1.7119402135442043E-4</v>
      </c>
      <c r="J881">
        <v>140246.16429656479</v>
      </c>
      <c r="L881">
        <v>2.1099999999999772</v>
      </c>
      <c r="N881">
        <v>-1.2705236414336874E-3</v>
      </c>
      <c r="P881">
        <v>0.11925898512748644</v>
      </c>
      <c r="R881">
        <v>10.378292673478052</v>
      </c>
    </row>
    <row r="882" spans="1:18" x14ac:dyDescent="0.3">
      <c r="A882">
        <v>2.1049999999999773</v>
      </c>
      <c r="B882">
        <v>4.4000000000000002E-6</v>
      </c>
      <c r="D882">
        <v>70.076263281098662</v>
      </c>
      <c r="F882">
        <v>5.8200822436420166E-4</v>
      </c>
      <c r="H882">
        <v>1.7119402135442043E-4</v>
      </c>
      <c r="J882">
        <v>140246.16429656479</v>
      </c>
      <c r="L882">
        <v>2.1049999999999773</v>
      </c>
      <c r="N882">
        <v>-1.2676136003118663E-3</v>
      </c>
      <c r="P882">
        <v>0.11899896457052957</v>
      </c>
      <c r="R882">
        <v>10.255964664598732</v>
      </c>
    </row>
    <row r="883" spans="1:18" x14ac:dyDescent="0.3">
      <c r="A883">
        <v>2.0999999999999774</v>
      </c>
      <c r="B883">
        <v>4.4000000000000002E-6</v>
      </c>
      <c r="D883">
        <v>70.076263281098662</v>
      </c>
      <c r="F883">
        <v>5.8200822436420166E-4</v>
      </c>
      <c r="H883">
        <v>1.7119402135442043E-4</v>
      </c>
      <c r="J883">
        <v>140246.16429656479</v>
      </c>
      <c r="L883">
        <v>2.0999999999999774</v>
      </c>
      <c r="N883">
        <v>-1.2647035591900452E-3</v>
      </c>
      <c r="P883">
        <v>0.11873889459874744</v>
      </c>
      <c r="R883">
        <v>10.128307262251015</v>
      </c>
    </row>
    <row r="884" spans="1:18" x14ac:dyDescent="0.3">
      <c r="A884">
        <v>2.0949999999999775</v>
      </c>
      <c r="B884">
        <v>4.4000000000000002E-6</v>
      </c>
      <c r="D884">
        <v>70.076263281098662</v>
      </c>
      <c r="F884">
        <v>5.8200822436420166E-4</v>
      </c>
      <c r="H884">
        <v>1.7119402135442043E-4</v>
      </c>
      <c r="J884">
        <v>140246.16429656479</v>
      </c>
      <c r="L884">
        <v>2.0949999999999775</v>
      </c>
      <c r="N884">
        <v>-1.2617935180682242E-3</v>
      </c>
      <c r="P884">
        <v>0.11847877508506104</v>
      </c>
      <c r="R884">
        <v>9.9952796220421067</v>
      </c>
    </row>
    <row r="885" spans="1:18" x14ac:dyDescent="0.3">
      <c r="A885">
        <v>2.0899999999999777</v>
      </c>
      <c r="B885">
        <v>4.4000000000000002E-6</v>
      </c>
      <c r="D885">
        <v>70.076263281098662</v>
      </c>
      <c r="F885">
        <v>5.8200822436420166E-4</v>
      </c>
      <c r="H885">
        <v>1.7119402135442043E-4</v>
      </c>
      <c r="J885">
        <v>140246.16429656479</v>
      </c>
      <c r="L885">
        <v>2.0899999999999777</v>
      </c>
      <c r="N885">
        <v>-1.2588834769464031E-3</v>
      </c>
      <c r="P885">
        <v>0.11821860590176037</v>
      </c>
      <c r="R885">
        <v>9.8568577056154236</v>
      </c>
    </row>
    <row r="886" spans="1:18" x14ac:dyDescent="0.3">
      <c r="A886">
        <v>2.0849999999999778</v>
      </c>
      <c r="B886">
        <v>4.4000000000000002E-6</v>
      </c>
      <c r="D886">
        <v>70.076263281098662</v>
      </c>
      <c r="F886">
        <v>5.8200822436420166E-4</v>
      </c>
      <c r="H886">
        <v>1.7119402135442043E-4</v>
      </c>
      <c r="J886">
        <v>140246.16429656479</v>
      </c>
      <c r="L886">
        <v>2.0849999999999778</v>
      </c>
      <c r="N886">
        <v>-1.255973435824582E-3</v>
      </c>
      <c r="P886">
        <v>0.11795838692049998</v>
      </c>
      <c r="R886">
        <v>9.713035451194175</v>
      </c>
    </row>
    <row r="887" spans="1:18" x14ac:dyDescent="0.3">
      <c r="A887">
        <v>2.0799999999999779</v>
      </c>
      <c r="B887">
        <v>4.4000000000000002E-6</v>
      </c>
      <c r="D887">
        <v>70.076263281098662</v>
      </c>
      <c r="F887">
        <v>5.8200822436420166E-4</v>
      </c>
      <c r="H887">
        <v>1.7119402135442043E-4</v>
      </c>
      <c r="J887">
        <v>140246.16429656479</v>
      </c>
      <c r="L887">
        <v>2.0799999999999779</v>
      </c>
      <c r="N887">
        <v>-1.2530633947027609E-3</v>
      </c>
      <c r="P887">
        <v>0.1176981180122941</v>
      </c>
      <c r="R887">
        <v>9.5638258925997057</v>
      </c>
    </row>
    <row r="888" spans="1:18" x14ac:dyDescent="0.3">
      <c r="A888">
        <v>2.074999999999978</v>
      </c>
      <c r="B888">
        <v>4.4000000000000002E-6</v>
      </c>
      <c r="D888">
        <v>70.076263281098662</v>
      </c>
      <c r="F888">
        <v>5.8200822436420166E-4</v>
      </c>
      <c r="H888">
        <v>1.7119402135442043E-4</v>
      </c>
      <c r="J888">
        <v>140246.16429656479</v>
      </c>
      <c r="L888">
        <v>2.074999999999978</v>
      </c>
      <c r="N888">
        <v>-1.2501533535809399E-3</v>
      </c>
      <c r="P888">
        <v>0.117437799047512</v>
      </c>
      <c r="R888">
        <v>9.4092622125643501</v>
      </c>
    </row>
    <row r="889" spans="1:18" x14ac:dyDescent="0.3">
      <c r="A889">
        <v>2.0699999999999781</v>
      </c>
      <c r="B889">
        <v>4.4000000000000002E-6</v>
      </c>
      <c r="D889">
        <v>70.076263281098662</v>
      </c>
      <c r="F889">
        <v>5.8200822436420166E-4</v>
      </c>
      <c r="H889">
        <v>1.7119402135442043E-4</v>
      </c>
      <c r="J889">
        <v>140246.16429656479</v>
      </c>
      <c r="L889">
        <v>2.0699999999999781</v>
      </c>
      <c r="N889">
        <v>-1.2472433124591188E-3</v>
      </c>
      <c r="P889">
        <v>0.11717742989587315</v>
      </c>
      <c r="R889">
        <v>9.249398715754662</v>
      </c>
    </row>
    <row r="890" spans="1:18" x14ac:dyDescent="0.3">
      <c r="A890">
        <v>2.0649999999999782</v>
      </c>
      <c r="B890">
        <v>4.4000000000000002E-6</v>
      </c>
      <c r="D890">
        <v>70.076263281098662</v>
      </c>
      <c r="F890">
        <v>5.8200822436420166E-4</v>
      </c>
      <c r="H890">
        <v>1.7119402135442043E-4</v>
      </c>
      <c r="J890">
        <v>140246.16429656479</v>
      </c>
      <c r="L890">
        <v>2.0649999999999782</v>
      </c>
      <c r="N890">
        <v>-1.2443332713372977E-3</v>
      </c>
      <c r="P890">
        <v>0.11691701042644237</v>
      </c>
      <c r="R890">
        <v>9.0843117066757806</v>
      </c>
    </row>
    <row r="891" spans="1:18" x14ac:dyDescent="0.3">
      <c r="A891">
        <v>2.0599999999999783</v>
      </c>
      <c r="B891">
        <v>4.4000000000000002E-6</v>
      </c>
      <c r="D891">
        <v>70.076263281098662</v>
      </c>
      <c r="F891">
        <v>5.8200822436420166E-4</v>
      </c>
      <c r="H891">
        <v>1.7119402135442043E-4</v>
      </c>
      <c r="J891">
        <v>140246.16429656479</v>
      </c>
      <c r="L891">
        <v>2.0599999999999783</v>
      </c>
      <c r="N891">
        <v>-1.2414232302154766E-3</v>
      </c>
      <c r="P891">
        <v>0.11665654050762507</v>
      </c>
      <c r="R891">
        <v>8.9141002575599959</v>
      </c>
    </row>
    <row r="892" spans="1:18" x14ac:dyDescent="0.3">
      <c r="A892">
        <v>2.0549999999999784</v>
      </c>
      <c r="B892">
        <v>4.4000000000000002E-6</v>
      </c>
      <c r="D892">
        <v>70.076263281098662</v>
      </c>
      <c r="F892">
        <v>5.8200822436420166E-4</v>
      </c>
      <c r="H892">
        <v>1.7119402135442043E-4</v>
      </c>
      <c r="J892">
        <v>140246.16429656479</v>
      </c>
      <c r="L892">
        <v>2.0549999999999784</v>
      </c>
      <c r="N892">
        <v>-1.2385131890936556E-3</v>
      </c>
      <c r="P892">
        <v>0.1163960200071622</v>
      </c>
      <c r="R892">
        <v>8.7388868514695872</v>
      </c>
    </row>
    <row r="893" spans="1:18" x14ac:dyDescent="0.3">
      <c r="A893">
        <v>2.0499999999999785</v>
      </c>
      <c r="B893">
        <v>4.4000000000000002E-6</v>
      </c>
      <c r="D893">
        <v>70.076263281098662</v>
      </c>
      <c r="F893">
        <v>5.8200822436420166E-4</v>
      </c>
      <c r="H893">
        <v>1.7119402135442043E-4</v>
      </c>
      <c r="J893">
        <v>140246.16429656479</v>
      </c>
      <c r="L893">
        <v>2.0499999999999785</v>
      </c>
      <c r="N893">
        <v>-1.2356031479718345E-3</v>
      </c>
      <c r="P893">
        <v>0.11613544879212524</v>
      </c>
      <c r="R893">
        <v>8.5588178861812683</v>
      </c>
    </row>
    <row r="894" spans="1:18" x14ac:dyDescent="0.3">
      <c r="A894">
        <v>2.0449999999999786</v>
      </c>
      <c r="B894">
        <v>4.4000000000000002E-6</v>
      </c>
      <c r="D894">
        <v>70.076263281098662</v>
      </c>
      <c r="F894">
        <v>5.8200822436420166E-4</v>
      </c>
      <c r="H894">
        <v>1.7119402135442043E-4</v>
      </c>
      <c r="J894">
        <v>140246.16429656479</v>
      </c>
      <c r="L894">
        <v>2.0449999999999786</v>
      </c>
      <c r="N894">
        <v>-1.2326931068500134E-3</v>
      </c>
      <c r="P894">
        <v>0.11587482672891131</v>
      </c>
      <c r="R894">
        <v>8.3740640249805303</v>
      </c>
    </row>
    <row r="895" spans="1:18" x14ac:dyDescent="0.3">
      <c r="A895">
        <v>2.0399999999999787</v>
      </c>
      <c r="B895">
        <v>4.4000000000000002E-6</v>
      </c>
      <c r="D895">
        <v>70.076263281098662</v>
      </c>
      <c r="F895">
        <v>5.8200822436420166E-4</v>
      </c>
      <c r="H895">
        <v>1.7119402135442043E-4</v>
      </c>
      <c r="J895">
        <v>140246.16429656479</v>
      </c>
      <c r="L895">
        <v>2.0399999999999787</v>
      </c>
      <c r="N895">
        <v>-1.2297830657281923E-3</v>
      </c>
      <c r="P895">
        <v>0.11561415368323798</v>
      </c>
      <c r="R895">
        <v>8.184820381289331</v>
      </c>
    </row>
    <row r="896" spans="1:18" x14ac:dyDescent="0.3">
      <c r="A896">
        <v>2.0349999999999788</v>
      </c>
      <c r="B896">
        <v>4.4000000000000002E-6</v>
      </c>
      <c r="D896">
        <v>70.076263281098662</v>
      </c>
      <c r="F896">
        <v>5.8200822436420166E-4</v>
      </c>
      <c r="H896">
        <v>1.7119402135442043E-4</v>
      </c>
      <c r="J896">
        <v>140246.16429656479</v>
      </c>
      <c r="L896">
        <v>2.0349999999999788</v>
      </c>
      <c r="N896">
        <v>-1.2268730246063713E-3</v>
      </c>
      <c r="P896">
        <v>0.11535342952013816</v>
      </c>
      <c r="R896">
        <v>7.9913065250874418</v>
      </c>
    </row>
    <row r="897" spans="1:18" x14ac:dyDescent="0.3">
      <c r="A897">
        <v>2.0299999999999789</v>
      </c>
      <c r="B897">
        <v>4.4000000000000002E-6</v>
      </c>
      <c r="D897">
        <v>70.076263281098662</v>
      </c>
      <c r="F897">
        <v>5.8200822436420166E-4</v>
      </c>
      <c r="H897">
        <v>1.7119402135442043E-4</v>
      </c>
      <c r="J897">
        <v>140246.16429656479</v>
      </c>
      <c r="L897">
        <v>2.0299999999999789</v>
      </c>
      <c r="N897">
        <v>-1.2239629834845502E-3</v>
      </c>
      <c r="P897">
        <v>0.11509265410395497</v>
      </c>
      <c r="R897">
        <v>7.7937663003700104</v>
      </c>
    </row>
    <row r="898" spans="1:18" x14ac:dyDescent="0.3">
      <c r="A898">
        <v>2.024999999999979</v>
      </c>
      <c r="B898">
        <v>4.4000000000000002E-6</v>
      </c>
      <c r="D898">
        <v>70.076263281098662</v>
      </c>
      <c r="F898">
        <v>5.8200822436420166E-4</v>
      </c>
      <c r="H898">
        <v>1.7119402135442043E-4</v>
      </c>
      <c r="J898">
        <v>140246.16429656479</v>
      </c>
      <c r="L898">
        <v>2.024999999999979</v>
      </c>
      <c r="N898">
        <v>-1.2210529423627291E-3</v>
      </c>
      <c r="P898">
        <v>0.11483182729833646</v>
      </c>
      <c r="R898">
        <v>7.5924674444111568</v>
      </c>
    </row>
    <row r="899" spans="1:18" x14ac:dyDescent="0.3">
      <c r="A899">
        <v>2.0199999999999791</v>
      </c>
      <c r="B899">
        <v>4.4000000000000002E-6</v>
      </c>
      <c r="D899">
        <v>70.076263281098662</v>
      </c>
      <c r="F899">
        <v>5.8200822436420166E-4</v>
      </c>
      <c r="H899">
        <v>1.7119402135442043E-4</v>
      </c>
      <c r="J899">
        <v>140246.16429656479</v>
      </c>
      <c r="L899">
        <v>2.0199999999999791</v>
      </c>
      <c r="N899">
        <v>-1.218142901240908E-3</v>
      </c>
      <c r="P899">
        <v>0.11457094896623031</v>
      </c>
      <c r="R899">
        <v>7.3877010013707247</v>
      </c>
    </row>
    <row r="900" spans="1:18" x14ac:dyDescent="0.3">
      <c r="A900">
        <v>2.0149999999999793</v>
      </c>
      <c r="B900">
        <v>4.4000000000000002E-6</v>
      </c>
      <c r="D900">
        <v>70.076263281098662</v>
      </c>
      <c r="F900">
        <v>5.8200822436420166E-4</v>
      </c>
      <c r="H900">
        <v>1.7119402135442043E-4</v>
      </c>
      <c r="J900">
        <v>140246.16429656479</v>
      </c>
      <c r="L900">
        <v>2.0149999999999793</v>
      </c>
      <c r="N900">
        <v>-1.215232860119087E-3</v>
      </c>
      <c r="P900">
        <v>0.11431001896987852</v>
      </c>
      <c r="R900">
        <v>7.1797805247789945</v>
      </c>
    </row>
    <row r="901" spans="1:18" x14ac:dyDescent="0.3">
      <c r="A901">
        <v>2.0099999999999794</v>
      </c>
      <c r="B901">
        <v>4.4000000000000002E-6</v>
      </c>
      <c r="D901">
        <v>70.076263281098662</v>
      </c>
      <c r="F901">
        <v>5.8200822436420166E-4</v>
      </c>
      <c r="H901">
        <v>1.7119402135442043E-4</v>
      </c>
      <c r="J901">
        <v>140246.16429656479</v>
      </c>
      <c r="L901">
        <v>2.0099999999999794</v>
      </c>
      <c r="N901">
        <v>-1.2123228189972659E-3</v>
      </c>
      <c r="P901">
        <v>0.11404903717081204</v>
      </c>
      <c r="R901">
        <v>6.9690410656473123</v>
      </c>
    </row>
    <row r="902" spans="1:18" x14ac:dyDescent="0.3">
      <c r="A902">
        <v>2.0049999999999795</v>
      </c>
      <c r="B902">
        <v>4.4000000000000002E-6</v>
      </c>
      <c r="D902">
        <v>70.076263281098662</v>
      </c>
      <c r="F902">
        <v>5.8200822436420166E-4</v>
      </c>
      <c r="H902">
        <v>1.7119402135442043E-4</v>
      </c>
      <c r="J902">
        <v>140246.16429656479</v>
      </c>
      <c r="L902">
        <v>2.0049999999999795</v>
      </c>
      <c r="N902">
        <v>-1.2094127778754448E-3</v>
      </c>
      <c r="P902">
        <v>0.11378800342984523</v>
      </c>
      <c r="R902">
        <v>6.755837945361133</v>
      </c>
    </row>
    <row r="903" spans="1:18" x14ac:dyDescent="0.3">
      <c r="A903">
        <v>1.9999999999999793</v>
      </c>
      <c r="B903">
        <v>4.4000000000000002E-6</v>
      </c>
      <c r="D903">
        <v>70.076263281098662</v>
      </c>
      <c r="F903">
        <v>5.8200822436420166E-4</v>
      </c>
      <c r="H903">
        <v>1.7119402135442043E-4</v>
      </c>
      <c r="J903">
        <v>140246.16429656479</v>
      </c>
      <c r="L903">
        <v>1.9999999999999793</v>
      </c>
      <c r="N903">
        <v>-1.2065027367536237E-3</v>
      </c>
      <c r="P903">
        <v>0.11352691760707043</v>
      </c>
      <c r="R903">
        <v>6.5405453150905482</v>
      </c>
    </row>
    <row r="904" spans="1:18" x14ac:dyDescent="0.3">
      <c r="A904">
        <v>1.9949999999999795</v>
      </c>
      <c r="B904">
        <v>4.4000000000000002E-6</v>
      </c>
      <c r="D904">
        <v>70.076263281098662</v>
      </c>
      <c r="F904">
        <v>5.8200822436420166E-4</v>
      </c>
      <c r="H904">
        <v>1.7119402135442043E-4</v>
      </c>
      <c r="J904">
        <v>140246.16429656479</v>
      </c>
      <c r="L904">
        <v>1.9949999999999795</v>
      </c>
      <c r="N904">
        <v>-1.2035926956318027E-3</v>
      </c>
      <c r="P904">
        <v>0.11326577956185245</v>
      </c>
      <c r="R904">
        <v>6.3235545061713383</v>
      </c>
    </row>
    <row r="905" spans="1:18" x14ac:dyDescent="0.3">
      <c r="A905">
        <v>1.9899999999999796</v>
      </c>
      <c r="B905">
        <v>4.4000000000000002E-6</v>
      </c>
      <c r="D905">
        <v>70.076263281098662</v>
      </c>
      <c r="F905">
        <v>5.8200822436420166E-4</v>
      </c>
      <c r="H905">
        <v>1.7119402135442043E-4</v>
      </c>
      <c r="J905">
        <v>140246.16429656479</v>
      </c>
      <c r="L905">
        <v>1.9899999999999796</v>
      </c>
      <c r="N905">
        <v>-1.2006826545099816E-3</v>
      </c>
      <c r="P905">
        <v>0.11300458915282283</v>
      </c>
      <c r="R905">
        <v>6.1052721787312754</v>
      </c>
    </row>
    <row r="906" spans="1:18" x14ac:dyDescent="0.3">
      <c r="A906">
        <v>1.9849999999999797</v>
      </c>
      <c r="B906">
        <v>4.4000000000000002E-6</v>
      </c>
      <c r="D906">
        <v>70.076263281098662</v>
      </c>
      <c r="F906">
        <v>5.8200822436420166E-4</v>
      </c>
      <c r="H906">
        <v>1.7119402135442043E-4</v>
      </c>
      <c r="J906">
        <v>140246.16429656479</v>
      </c>
      <c r="L906">
        <v>1.9849999999999797</v>
      </c>
      <c r="N906">
        <v>-1.1977726133881605E-3</v>
      </c>
      <c r="P906">
        <v>0.11274334623787421</v>
      </c>
      <c r="R906">
        <v>5.8861182787215354</v>
      </c>
    </row>
    <row r="907" spans="1:18" x14ac:dyDescent="0.3">
      <c r="A907">
        <v>1.9799999999999798</v>
      </c>
      <c r="B907">
        <v>4.4000000000000002E-6</v>
      </c>
      <c r="D907">
        <v>70.076263281098662</v>
      </c>
      <c r="F907">
        <v>5.8200822436420166E-4</v>
      </c>
      <c r="H907">
        <v>1.7119402135442043E-4</v>
      </c>
      <c r="J907">
        <v>140246.16429656479</v>
      </c>
      <c r="L907">
        <v>1.9799999999999798</v>
      </c>
      <c r="N907">
        <v>-1.1948625722663394E-3</v>
      </c>
      <c r="P907">
        <v>0.11248205067415466</v>
      </c>
      <c r="R907">
        <v>5.6665238164170004</v>
      </c>
    </row>
    <row r="908" spans="1:18" x14ac:dyDescent="0.3">
      <c r="A908">
        <v>1.9749999999999799</v>
      </c>
      <c r="B908">
        <v>4.4000000000000002E-6</v>
      </c>
      <c r="D908">
        <v>70.076263281098662</v>
      </c>
      <c r="F908">
        <v>5.8200822436420166E-4</v>
      </c>
      <c r="H908">
        <v>1.7119402135442043E-4</v>
      </c>
      <c r="J908">
        <v>140246.16429656479</v>
      </c>
      <c r="L908">
        <v>1.9749999999999799</v>
      </c>
      <c r="N908">
        <v>-1.1919525311445184E-3</v>
      </c>
      <c r="P908">
        <v>0.11222070231806182</v>
      </c>
      <c r="R908">
        <v>5.4469284823238358</v>
      </c>
    </row>
    <row r="909" spans="1:18" x14ac:dyDescent="0.3">
      <c r="A909">
        <v>1.96999999999998</v>
      </c>
      <c r="B909">
        <v>4.4000000000000002E-6</v>
      </c>
      <c r="D909">
        <v>70.076263281098662</v>
      </c>
      <c r="F909">
        <v>5.8200822436420166E-4</v>
      </c>
      <c r="H909">
        <v>1.7119402135442043E-4</v>
      </c>
      <c r="J909">
        <v>140246.16429656479</v>
      </c>
      <c r="L909">
        <v>1.96999999999998</v>
      </c>
      <c r="N909">
        <v>-1.1890424900226973E-3</v>
      </c>
      <c r="P909">
        <v>0.11195930102523703</v>
      </c>
      <c r="R909">
        <v>5.2277781192269721</v>
      </c>
    </row>
    <row r="910" spans="1:18" x14ac:dyDescent="0.3">
      <c r="A910">
        <v>1.9649999999999801</v>
      </c>
      <c r="B910">
        <v>4.4000000000000002E-6</v>
      </c>
      <c r="D910">
        <v>70.076263281098662</v>
      </c>
      <c r="F910">
        <v>5.8200822436420166E-4</v>
      </c>
      <c r="H910">
        <v>1.7119402135442043E-4</v>
      </c>
      <c r="J910">
        <v>140246.16429656479</v>
      </c>
      <c r="L910">
        <v>1.9649999999999801</v>
      </c>
      <c r="N910">
        <v>-1.1861324489008762E-3</v>
      </c>
      <c r="P910">
        <v>0.11169784665055947</v>
      </c>
      <c r="R910">
        <v>5.0095220717710376</v>
      </c>
    </row>
    <row r="911" spans="1:18" x14ac:dyDescent="0.3">
      <c r="A911">
        <v>1.9599999999999802</v>
      </c>
      <c r="B911">
        <v>4.4000000000000002E-6</v>
      </c>
      <c r="D911">
        <v>70.076263281098662</v>
      </c>
      <c r="F911">
        <v>5.8200822436420166E-4</v>
      </c>
      <c r="H911">
        <v>1.7119402135442043E-4</v>
      </c>
      <c r="J911">
        <v>140246.16429656479</v>
      </c>
      <c r="L911">
        <v>1.9599999999999802</v>
      </c>
      <c r="N911">
        <v>-1.1832224077790551E-3</v>
      </c>
      <c r="P911">
        <v>0.11143633904814025</v>
      </c>
      <c r="R911">
        <v>4.7926104374420113</v>
      </c>
    </row>
    <row r="912" spans="1:18" x14ac:dyDescent="0.3">
      <c r="A912">
        <v>1.9549999999999803</v>
      </c>
      <c r="B912">
        <v>4.4000000000000002E-6</v>
      </c>
      <c r="D912">
        <v>70.076263281098662</v>
      </c>
      <c r="F912">
        <v>5.8200822436420166E-4</v>
      </c>
      <c r="H912">
        <v>1.7119402135442043E-4</v>
      </c>
      <c r="J912">
        <v>140246.16429656479</v>
      </c>
      <c r="L912">
        <v>1.9549999999999803</v>
      </c>
      <c r="N912">
        <v>-1.1803123666572341E-3</v>
      </c>
      <c r="P912">
        <v>0.11117477807131616</v>
      </c>
      <c r="R912">
        <v>4.5774912450496554</v>
      </c>
    </row>
    <row r="913" spans="1:18" x14ac:dyDescent="0.3">
      <c r="A913">
        <v>1.9499999999999804</v>
      </c>
      <c r="B913">
        <v>4.4000000000000002E-6</v>
      </c>
      <c r="D913">
        <v>70.076263281098662</v>
      </c>
      <c r="F913">
        <v>5.8200822436420166E-4</v>
      </c>
      <c r="H913">
        <v>1.7119402135442043E-4</v>
      </c>
      <c r="J913">
        <v>140246.16429656479</v>
      </c>
      <c r="L913">
        <v>1.9499999999999804</v>
      </c>
      <c r="N913">
        <v>-1.177402325535413E-3</v>
      </c>
      <c r="P913">
        <v>0.1109131635726438</v>
      </c>
      <c r="R913">
        <v>4.3646075887503502</v>
      </c>
    </row>
    <row r="914" spans="1:18" x14ac:dyDescent="0.3">
      <c r="A914">
        <v>1.9449999999999805</v>
      </c>
      <c r="B914">
        <v>4.4000000000000002E-6</v>
      </c>
      <c r="D914">
        <v>70.076263281098662</v>
      </c>
      <c r="F914">
        <v>5.8200822436420166E-4</v>
      </c>
      <c r="H914">
        <v>1.7119402135442043E-4</v>
      </c>
      <c r="J914">
        <v>140246.16429656479</v>
      </c>
      <c r="L914">
        <v>1.9449999999999805</v>
      </c>
      <c r="N914">
        <v>-1.1744922844135919E-3</v>
      </c>
      <c r="P914">
        <v>0.11065149540389332</v>
      </c>
      <c r="R914">
        <v>4.1543947472466396</v>
      </c>
    </row>
    <row r="915" spans="1:18" x14ac:dyDescent="0.3">
      <c r="A915">
        <v>1.9399999999999806</v>
      </c>
      <c r="B915">
        <v>4.4000000000000002E-6</v>
      </c>
      <c r="D915">
        <v>70.076263281098662</v>
      </c>
      <c r="F915">
        <v>5.8200822436420166E-4</v>
      </c>
      <c r="H915">
        <v>1.7119402135442043E-4</v>
      </c>
      <c r="J915">
        <v>140246.16429656479</v>
      </c>
      <c r="L915">
        <v>1.9399999999999806</v>
      </c>
      <c r="N915">
        <v>-1.1715822432917708E-3</v>
      </c>
      <c r="P915">
        <v>0.11038977341604214</v>
      </c>
      <c r="R915">
        <v>3.9472773190079034</v>
      </c>
    </row>
    <row r="916" spans="1:18" x14ac:dyDescent="0.3">
      <c r="A916">
        <v>1.9349999999999807</v>
      </c>
      <c r="B916">
        <v>4.4000000000000002E-6</v>
      </c>
      <c r="D916">
        <v>70.076263281098662</v>
      </c>
      <c r="F916">
        <v>5.8200822436420166E-4</v>
      </c>
      <c r="H916">
        <v>1.7119402135442043E-4</v>
      </c>
      <c r="J916">
        <v>140246.16429656479</v>
      </c>
      <c r="L916">
        <v>1.9349999999999807</v>
      </c>
      <c r="N916">
        <v>-1.1686722021699498E-3</v>
      </c>
      <c r="P916">
        <v>0.11012799745926874</v>
      </c>
      <c r="R916">
        <v>3.7436664051356394</v>
      </c>
    </row>
    <row r="917" spans="1:18" x14ac:dyDescent="0.3">
      <c r="A917">
        <v>1.9299999999999808</v>
      </c>
      <c r="B917">
        <v>4.4000000000000002E-6</v>
      </c>
      <c r="D917">
        <v>70.076263281098662</v>
      </c>
      <c r="F917">
        <v>5.8200822436420166E-4</v>
      </c>
      <c r="H917">
        <v>1.7119402135442043E-4</v>
      </c>
      <c r="J917">
        <v>140246.16429656479</v>
      </c>
      <c r="L917">
        <v>1.9299999999999808</v>
      </c>
      <c r="N917">
        <v>-1.1657621610481287E-3</v>
      </c>
      <c r="P917">
        <v>0.10986616738294626</v>
      </c>
      <c r="R917">
        <v>3.5439568718129473</v>
      </c>
    </row>
    <row r="918" spans="1:18" x14ac:dyDescent="0.3">
      <c r="A918">
        <v>1.9249999999999809</v>
      </c>
      <c r="B918">
        <v>4.4000000000000002E-6</v>
      </c>
      <c r="D918">
        <v>70.076263281098662</v>
      </c>
      <c r="F918">
        <v>5.8200822436420166E-4</v>
      </c>
      <c r="H918">
        <v>1.7119402135442043E-4</v>
      </c>
      <c r="J918">
        <v>140246.16429656479</v>
      </c>
      <c r="L918">
        <v>1.9249999999999809</v>
      </c>
      <c r="N918">
        <v>-1.1628521199263076E-3</v>
      </c>
      <c r="P918">
        <v>0.10960428303563612</v>
      </c>
      <c r="R918">
        <v>3.3485247241046432</v>
      </c>
    </row>
    <row r="919" spans="1:18" x14ac:dyDescent="0.3">
      <c r="A919">
        <v>1.9199999999999811</v>
      </c>
      <c r="B919">
        <v>4.4000000000000002E-6</v>
      </c>
      <c r="D919">
        <v>70.076263281098662</v>
      </c>
      <c r="F919">
        <v>5.8200822436420166E-4</v>
      </c>
      <c r="H919">
        <v>1.7119402135442043E-4</v>
      </c>
      <c r="J919">
        <v>140246.16429656479</v>
      </c>
      <c r="L919">
        <v>1.9199999999999811</v>
      </c>
      <c r="N919">
        <v>-1.1599420788044866E-3</v>
      </c>
      <c r="P919">
        <v>0.10934234426508142</v>
      </c>
      <c r="R919">
        <v>3.1577246221944546</v>
      </c>
    </row>
    <row r="920" spans="1:18" x14ac:dyDescent="0.3">
      <c r="A920">
        <v>1.9149999999999812</v>
      </c>
      <c r="B920">
        <v>4.4000000000000002E-6</v>
      </c>
      <c r="D920">
        <v>70.076263281098662</v>
      </c>
      <c r="F920">
        <v>5.8200822436420166E-4</v>
      </c>
      <c r="H920">
        <v>1.7119402135442043E-4</v>
      </c>
      <c r="J920">
        <v>140246.16429656479</v>
      </c>
      <c r="L920">
        <v>1.9149999999999812</v>
      </c>
      <c r="N920">
        <v>-1.1570320376826655E-3</v>
      </c>
      <c r="P920">
        <v>0.10908035091820058</v>
      </c>
      <c r="R920">
        <v>2.9718875699510598</v>
      </c>
    </row>
    <row r="921" spans="1:18" x14ac:dyDescent="0.3">
      <c r="A921">
        <v>1.9099999999999813</v>
      </c>
      <c r="B921">
        <v>4.4000000000000002E-6</v>
      </c>
      <c r="D921">
        <v>70.076263281098662</v>
      </c>
      <c r="F921">
        <v>5.8200822436420166E-4</v>
      </c>
      <c r="H921">
        <v>1.7119402135442043E-4</v>
      </c>
      <c r="J921">
        <v>140246.16429656479</v>
      </c>
      <c r="L921">
        <v>1.9099999999999813</v>
      </c>
      <c r="N921">
        <v>-1.1541219965608444E-3</v>
      </c>
      <c r="P921">
        <v>0.10881830284108042</v>
      </c>
      <c r="R921">
        <v>2.7913188040077368</v>
      </c>
    </row>
    <row r="922" spans="1:18" x14ac:dyDescent="0.3">
      <c r="A922">
        <v>1.9049999999999814</v>
      </c>
      <c r="B922">
        <v>4.4000000000000002E-6</v>
      </c>
      <c r="D922">
        <v>70.076263281098662</v>
      </c>
      <c r="F922">
        <v>5.8200822436420166E-4</v>
      </c>
      <c r="H922">
        <v>1.7119402135442043E-4</v>
      </c>
      <c r="J922">
        <v>140246.16429656479</v>
      </c>
      <c r="L922">
        <v>1.9049999999999814</v>
      </c>
      <c r="N922">
        <v>-1.1512119554390233E-3</v>
      </c>
      <c r="P922">
        <v>0.10855619987896968</v>
      </c>
      <c r="R922">
        <v>2.6162959093343621</v>
      </c>
    </row>
    <row r="923" spans="1:18" x14ac:dyDescent="0.3">
      <c r="A923">
        <v>1.8999999999999815</v>
      </c>
      <c r="B923">
        <v>4.4000000000000002E-6</v>
      </c>
      <c r="D923">
        <v>70.076263281098662</v>
      </c>
      <c r="F923">
        <v>5.8200822436420166E-4</v>
      </c>
      <c r="H923">
        <v>1.7119402135442043E-4</v>
      </c>
      <c r="J923">
        <v>140246.16429656479</v>
      </c>
      <c r="L923">
        <v>1.8999999999999815</v>
      </c>
      <c r="N923">
        <v>-1.1483019143172023E-3</v>
      </c>
      <c r="P923">
        <v>0.1082940418762722</v>
      </c>
      <c r="R923">
        <v>2.4470671845997556</v>
      </c>
    </row>
    <row r="924" spans="1:18" x14ac:dyDescent="0.3">
      <c r="A924">
        <v>1.8949999999999816</v>
      </c>
      <c r="B924">
        <v>4.4000000000000002E-6</v>
      </c>
      <c r="D924">
        <v>70.076263281098662</v>
      </c>
      <c r="F924">
        <v>5.8200822436420166E-4</v>
      </c>
      <c r="H924">
        <v>1.7119402135442043E-4</v>
      </c>
      <c r="J924">
        <v>140246.16429656479</v>
      </c>
      <c r="L924">
        <v>1.8949999999999816</v>
      </c>
      <c r="N924">
        <v>-1.1453918731953812E-3</v>
      </c>
      <c r="P924">
        <v>0.10803182867653999</v>
      </c>
      <c r="R924">
        <v>2.2838502775022693</v>
      </c>
    </row>
    <row r="925" spans="1:18" x14ac:dyDescent="0.3">
      <c r="A925">
        <v>1.8899999999999817</v>
      </c>
      <c r="B925">
        <v>4.4000000000000002E-6</v>
      </c>
      <c r="D925">
        <v>70.076263281098662</v>
      </c>
      <c r="F925">
        <v>5.8200822436420166E-4</v>
      </c>
      <c r="H925">
        <v>1.7119402135442043E-4</v>
      </c>
      <c r="J925">
        <v>140246.16429656479</v>
      </c>
      <c r="L925">
        <v>1.8899999999999817</v>
      </c>
      <c r="N925">
        <v>-1.1424818320735601E-3</v>
      </c>
      <c r="P925">
        <v>0.10776956012246637</v>
      </c>
      <c r="R925">
        <v>2.1268311067330616</v>
      </c>
    </row>
    <row r="926" spans="1:18" x14ac:dyDescent="0.3">
      <c r="A926">
        <v>1.8849999999999818</v>
      </c>
      <c r="B926">
        <v>4.4000000000000002E-6</v>
      </c>
      <c r="D926">
        <v>70.076263281098662</v>
      </c>
      <c r="F926">
        <v>5.8200822436420166E-4</v>
      </c>
      <c r="H926">
        <v>1.7119402135442043E-4</v>
      </c>
      <c r="J926">
        <v>140246.16429656479</v>
      </c>
      <c r="L926">
        <v>1.8849999999999818</v>
      </c>
      <c r="N926">
        <v>-1.139571790951739E-3</v>
      </c>
      <c r="P926">
        <v>0.10750723605587899</v>
      </c>
      <c r="R926">
        <v>1.9761630833857988</v>
      </c>
    </row>
    <row r="927" spans="1:18" x14ac:dyDescent="0.3">
      <c r="A927">
        <v>1.8799999999999819</v>
      </c>
      <c r="B927">
        <v>4.4000000000000002E-6</v>
      </c>
      <c r="D927">
        <v>70.076263281098662</v>
      </c>
      <c r="F927">
        <v>5.8200822436420166E-4</v>
      </c>
      <c r="H927">
        <v>1.7119402135442043E-4</v>
      </c>
      <c r="J927">
        <v>140246.16429656479</v>
      </c>
      <c r="L927">
        <v>1.8799999999999819</v>
      </c>
      <c r="N927">
        <v>-1.136661749829918E-3</v>
      </c>
      <c r="P927">
        <v>0.10724485631773269</v>
      </c>
      <c r="R927">
        <v>1.8319666405037027</v>
      </c>
    </row>
    <row r="928" spans="1:18" x14ac:dyDescent="0.3">
      <c r="A928">
        <v>1.874999999999982</v>
      </c>
      <c r="B928">
        <v>4.4000000000000002E-6</v>
      </c>
      <c r="D928">
        <v>70.076263281098662</v>
      </c>
      <c r="F928">
        <v>5.8200822436420166E-4</v>
      </c>
      <c r="H928">
        <v>1.7119402135442043E-4</v>
      </c>
      <c r="J928">
        <v>140246.16429656479</v>
      </c>
      <c r="L928">
        <v>1.874999999999982</v>
      </c>
      <c r="N928">
        <v>-1.1337517087080969E-3</v>
      </c>
      <c r="P928">
        <v>0.10698242074810245</v>
      </c>
      <c r="R928">
        <v>1.6943290751330098</v>
      </c>
    </row>
    <row r="929" spans="1:18" x14ac:dyDescent="0.3">
      <c r="A929">
        <v>1.8699999999999821</v>
      </c>
      <c r="B929">
        <v>4.4000000000000002E-6</v>
      </c>
      <c r="D929">
        <v>70.076263281098662</v>
      </c>
      <c r="F929">
        <v>5.8200822436420166E-4</v>
      </c>
      <c r="H929">
        <v>1.7119402135442043E-4</v>
      </c>
      <c r="J929">
        <v>140246.16429656479</v>
      </c>
      <c r="L929">
        <v>1.8699999999999821</v>
      </c>
      <c r="N929">
        <v>-1.1308416675862758E-3</v>
      </c>
      <c r="P929">
        <v>0.10671992918617601</v>
      </c>
      <c r="R929">
        <v>1.5633047028104183</v>
      </c>
    </row>
    <row r="930" spans="1:18" x14ac:dyDescent="0.3">
      <c r="A930">
        <v>1.8649999999999822</v>
      </c>
      <c r="B930">
        <v>4.4000000000000002E-6</v>
      </c>
      <c r="D930">
        <v>70.076263281098662</v>
      </c>
      <c r="F930">
        <v>5.8200822436420166E-4</v>
      </c>
      <c r="H930">
        <v>1.7119402135442043E-4</v>
      </c>
      <c r="J930">
        <v>140246.16429656479</v>
      </c>
      <c r="L930">
        <v>1.8649999999999822</v>
      </c>
      <c r="N930">
        <v>-1.1279316264644547E-3</v>
      </c>
      <c r="P930">
        <v>0.10645738147024675</v>
      </c>
      <c r="R930">
        <v>1.438915319935048</v>
      </c>
    </row>
    <row r="931" spans="1:18" x14ac:dyDescent="0.3">
      <c r="A931">
        <v>1.8599999999999823</v>
      </c>
      <c r="B931">
        <v>4.4000000000000002E-6</v>
      </c>
      <c r="D931">
        <v>70.076263281098662</v>
      </c>
      <c r="F931">
        <v>5.8200822436420166E-4</v>
      </c>
      <c r="H931">
        <v>1.7119402135442043E-4</v>
      </c>
      <c r="J931">
        <v>140246.16429656479</v>
      </c>
      <c r="L931">
        <v>1.8599999999999823</v>
      </c>
      <c r="N931">
        <v>-1.1250215853426337E-3</v>
      </c>
      <c r="P931">
        <v>0.10619477743770618</v>
      </c>
      <c r="R931">
        <v>1.3211509650496043</v>
      </c>
    </row>
    <row r="932" spans="1:18" x14ac:dyDescent="0.3">
      <c r="A932">
        <v>1.8549999999999824</v>
      </c>
      <c r="B932">
        <v>4.4000000000000002E-6</v>
      </c>
      <c r="D932">
        <v>70.076263281098662</v>
      </c>
      <c r="F932">
        <v>5.8200822436420166E-4</v>
      </c>
      <c r="H932">
        <v>1.7119402135442043E-4</v>
      </c>
      <c r="J932">
        <v>140246.16429656479</v>
      </c>
      <c r="L932">
        <v>1.8549999999999824</v>
      </c>
      <c r="N932">
        <v>-1.1221115442208126E-3</v>
      </c>
      <c r="P932">
        <v>0.10593211692503644</v>
      </c>
      <c r="R932">
        <v>1.2099709657682287</v>
      </c>
    </row>
    <row r="933" spans="1:18" x14ac:dyDescent="0.3">
      <c r="A933">
        <v>1.8499999999999825</v>
      </c>
      <c r="B933">
        <v>4.4000000000000002E-6</v>
      </c>
      <c r="D933">
        <v>70.076263281098662</v>
      </c>
      <c r="F933">
        <v>5.8200822436420166E-4</v>
      </c>
      <c r="H933">
        <v>1.7119402135442043E-4</v>
      </c>
      <c r="J933">
        <v>140246.16429656479</v>
      </c>
      <c r="L933">
        <v>1.8499999999999825</v>
      </c>
      <c r="N933">
        <v>-1.1192015030989915E-3</v>
      </c>
      <c r="P933">
        <v>0.10566939976780287</v>
      </c>
      <c r="R933">
        <v>1.1053052540257984</v>
      </c>
    </row>
    <row r="934" spans="1:18" x14ac:dyDescent="0.3">
      <c r="A934">
        <v>1.8449999999999827</v>
      </c>
      <c r="B934">
        <v>4.4000000000000002E-6</v>
      </c>
      <c r="D934">
        <v>70.076263281098662</v>
      </c>
      <c r="F934">
        <v>5.8200822436420166E-4</v>
      </c>
      <c r="H934">
        <v>1.7119402135442043E-4</v>
      </c>
      <c r="J934">
        <v>140246.16429656479</v>
      </c>
      <c r="L934">
        <v>1.8449999999999827</v>
      </c>
      <c r="N934">
        <v>-1.1162914619771704E-3</v>
      </c>
      <c r="P934">
        <v>0.1054066258006463</v>
      </c>
      <c r="R934">
        <v>1.0070559285673595</v>
      </c>
    </row>
    <row r="935" spans="1:18" x14ac:dyDescent="0.3">
      <c r="A935">
        <v>1.8399999999999828</v>
      </c>
      <c r="B935">
        <v>4.4000000000000002E-6</v>
      </c>
      <c r="D935">
        <v>70.076263281098662</v>
      </c>
      <c r="F935">
        <v>5.8200822436420166E-4</v>
      </c>
      <c r="H935">
        <v>1.7119402135442043E-4</v>
      </c>
      <c r="J935">
        <v>140246.16429656479</v>
      </c>
      <c r="L935">
        <v>1.8399999999999828</v>
      </c>
      <c r="N935">
        <v>-1.1133814208553494E-3</v>
      </c>
      <c r="P935">
        <v>0.10514379485727537</v>
      </c>
      <c r="R935">
        <v>0.91509904022317146</v>
      </c>
    </row>
    <row r="936" spans="1:18" x14ac:dyDescent="0.3">
      <c r="A936">
        <v>1.8349999999999829</v>
      </c>
      <c r="B936">
        <v>4.4000000000000002E-6</v>
      </c>
      <c r="D936">
        <v>70.076263281098662</v>
      </c>
      <c r="F936">
        <v>5.8200822436420166E-4</v>
      </c>
      <c r="H936">
        <v>1.7119402135442043E-4</v>
      </c>
      <c r="J936">
        <v>140246.16429656479</v>
      </c>
      <c r="L936">
        <v>1.8349999999999829</v>
      </c>
      <c r="N936">
        <v>-1.1104713797335283E-3</v>
      </c>
      <c r="P936">
        <v>0.10488090677045868</v>
      </c>
      <c r="R936">
        <v>0.82928657259281224</v>
      </c>
    </row>
    <row r="937" spans="1:18" x14ac:dyDescent="0.3">
      <c r="A937">
        <v>1.829999999999983</v>
      </c>
      <c r="B937">
        <v>4.4000000000000002E-6</v>
      </c>
      <c r="D937">
        <v>70.076263281098662</v>
      </c>
      <c r="F937">
        <v>5.8200822436420166E-4</v>
      </c>
      <c r="H937">
        <v>1.7119402135442043E-4</v>
      </c>
      <c r="J937">
        <v>140246.16429656479</v>
      </c>
      <c r="L937">
        <v>1.829999999999983</v>
      </c>
      <c r="N937">
        <v>-1.1075613386117072E-3</v>
      </c>
      <c r="P937">
        <v>0.10461796137201693</v>
      </c>
      <c r="R937">
        <v>0.74944858834942307</v>
      </c>
    </row>
    <row r="938" spans="1:18" x14ac:dyDescent="0.3">
      <c r="A938">
        <v>1.8249999999999831</v>
      </c>
      <c r="B938">
        <v>4.4000000000000002E-6</v>
      </c>
      <c r="D938">
        <v>70.076263281098662</v>
      </c>
      <c r="F938">
        <v>5.8200822436420166E-4</v>
      </c>
      <c r="H938">
        <v>1.7119402135442043E-4</v>
      </c>
      <c r="J938">
        <v>140246.16429656479</v>
      </c>
      <c r="L938">
        <v>1.8249999999999831</v>
      </c>
      <c r="N938">
        <v>-1.1046512974898861E-3</v>
      </c>
      <c r="P938">
        <v>0.10435495849281495</v>
      </c>
      <c r="R938">
        <v>0.67539550951946814</v>
      </c>
    </row>
    <row r="939" spans="1:18" x14ac:dyDescent="0.3">
      <c r="A939">
        <v>1.8199999999999832</v>
      </c>
      <c r="B939">
        <v>4.4000000000000002E-6</v>
      </c>
      <c r="D939">
        <v>70.076263281098662</v>
      </c>
      <c r="F939">
        <v>5.8200822436420166E-4</v>
      </c>
      <c r="H939">
        <v>1.7119402135442043E-4</v>
      </c>
      <c r="J939">
        <v>140246.16429656479</v>
      </c>
      <c r="L939">
        <v>1.8199999999999832</v>
      </c>
      <c r="N939">
        <v>-1.1017412563680651E-3</v>
      </c>
      <c r="P939">
        <v>0.10409189796275364</v>
      </c>
      <c r="R939">
        <v>0.60692049882856658</v>
      </c>
    </row>
    <row r="940" spans="1:18" x14ac:dyDescent="0.3">
      <c r="A940">
        <v>1.8149999999999833</v>
      </c>
      <c r="B940">
        <v>4.4000000000000002E-6</v>
      </c>
      <c r="D940">
        <v>70.076263281098662</v>
      </c>
      <c r="F940">
        <v>5.8200822436420166E-4</v>
      </c>
      <c r="H940">
        <v>1.7119402135442043E-4</v>
      </c>
      <c r="J940">
        <v>140246.16429656479</v>
      </c>
      <c r="L940">
        <v>1.8149999999999833</v>
      </c>
      <c r="N940">
        <v>-1.098831215246244E-3</v>
      </c>
      <c r="P940">
        <v>0.10382877961076173</v>
      </c>
      <c r="R940">
        <v>0.54380190855042965</v>
      </c>
    </row>
    <row r="941" spans="1:18" x14ac:dyDescent="0.3">
      <c r="A941">
        <v>1.8099999999999834</v>
      </c>
      <c r="B941">
        <v>4.4000000000000002E-6</v>
      </c>
      <c r="D941">
        <v>70.076263281098662</v>
      </c>
      <c r="F941">
        <v>5.8200822436420166E-4</v>
      </c>
      <c r="H941">
        <v>1.7119402135442043E-4</v>
      </c>
      <c r="J941">
        <v>140246.16429656479</v>
      </c>
      <c r="L941">
        <v>1.8099999999999834</v>
      </c>
      <c r="N941">
        <v>-1.0959211741244229E-3</v>
      </c>
      <c r="P941">
        <v>0.10356560326478763</v>
      </c>
      <c r="R941">
        <v>0.48580576325972052</v>
      </c>
    </row>
    <row r="942" spans="1:18" x14ac:dyDescent="0.3">
      <c r="A942">
        <v>1.8049999999999835</v>
      </c>
      <c r="B942">
        <v>4.4000000000000002E-6</v>
      </c>
      <c r="D942">
        <v>70.076263281098662</v>
      </c>
      <c r="F942">
        <v>5.8200822436420166E-4</v>
      </c>
      <c r="H942">
        <v>1.7119402135442043E-4</v>
      </c>
      <c r="J942">
        <v>140246.16429656479</v>
      </c>
      <c r="L942">
        <v>1.8049999999999835</v>
      </c>
      <c r="N942">
        <v>-1.0930111330026018E-3</v>
      </c>
      <c r="P942">
        <v>0.10330236875179112</v>
      </c>
      <c r="R942">
        <v>0.4326882434621514</v>
      </c>
    </row>
    <row r="943" spans="1:18" x14ac:dyDescent="0.3">
      <c r="A943">
        <v>1.7999999999999836</v>
      </c>
      <c r="B943">
        <v>4.4000000000000002E-6</v>
      </c>
      <c r="D943">
        <v>70.076263281098662</v>
      </c>
      <c r="F943">
        <v>5.8200822436420166E-4</v>
      </c>
      <c r="H943">
        <v>1.7119402135442043E-4</v>
      </c>
      <c r="J943">
        <v>140246.16429656479</v>
      </c>
      <c r="L943">
        <v>1.7999999999999836</v>
      </c>
      <c r="N943">
        <v>-1.0901010918807808E-3</v>
      </c>
      <c r="P943">
        <v>0.10303907589773474</v>
      </c>
      <c r="R943">
        <v>0.38419813823338778</v>
      </c>
    </row>
    <row r="944" spans="1:18" x14ac:dyDescent="0.3">
      <c r="A944">
        <v>1.7949999999999837</v>
      </c>
      <c r="B944">
        <v>4.4000000000000002E-6</v>
      </c>
      <c r="D944">
        <v>70.076263281098662</v>
      </c>
      <c r="F944">
        <v>5.8200822436420166E-4</v>
      </c>
      <c r="H944">
        <v>1.7119402135442043E-4</v>
      </c>
      <c r="J944">
        <v>140246.16429656479</v>
      </c>
      <c r="L944">
        <v>1.7949999999999837</v>
      </c>
      <c r="N944">
        <v>-1.0871910507589597E-3</v>
      </c>
      <c r="P944">
        <v>0.10277572452757543</v>
      </c>
      <c r="R944">
        <v>0.34007923670568446</v>
      </c>
    </row>
    <row r="945" spans="1:18" x14ac:dyDescent="0.3">
      <c r="A945">
        <v>1.7899999999999838</v>
      </c>
      <c r="B945">
        <v>4.4000000000000002E-6</v>
      </c>
      <c r="D945">
        <v>70.076263281098662</v>
      </c>
      <c r="F945">
        <v>5.8200822436420166E-4</v>
      </c>
      <c r="H945">
        <v>1.7119402135442043E-4</v>
      </c>
      <c r="J945">
        <v>140246.16429656479</v>
      </c>
      <c r="L945">
        <v>1.7899999999999838</v>
      </c>
      <c r="N945">
        <v>-1.0842810096371386E-3</v>
      </c>
      <c r="P945">
        <v>0.10251231446525581</v>
      </c>
      <c r="R945">
        <v>0.30007263044833066</v>
      </c>
    </row>
    <row r="946" spans="1:18" x14ac:dyDescent="0.3">
      <c r="A946">
        <v>1.7849999999999839</v>
      </c>
      <c r="B946">
        <v>4.4000000000000002E-6</v>
      </c>
      <c r="D946">
        <v>70.076263281098662</v>
      </c>
      <c r="F946">
        <v>5.8200822436420166E-4</v>
      </c>
      <c r="H946">
        <v>1.7119402135442043E-4</v>
      </c>
      <c r="J946">
        <v>140246.16429656479</v>
      </c>
      <c r="L946">
        <v>1.7849999999999839</v>
      </c>
      <c r="N946">
        <v>-1.0813709685153175E-3</v>
      </c>
      <c r="P946">
        <v>0.1022488455336955</v>
      </c>
      <c r="R946">
        <v>0.26391890143445557</v>
      </c>
    </row>
    <row r="947" spans="1:18" x14ac:dyDescent="0.3">
      <c r="A947">
        <v>1.779999999999984</v>
      </c>
      <c r="B947">
        <v>4.4000000000000002E-6</v>
      </c>
      <c r="D947">
        <v>70.076263281098662</v>
      </c>
      <c r="F947">
        <v>5.8200822436420166E-4</v>
      </c>
      <c r="H947">
        <v>1.7119402135442043E-4</v>
      </c>
      <c r="J947">
        <v>140246.16429656479</v>
      </c>
      <c r="L947">
        <v>1.779999999999984</v>
      </c>
      <c r="N947">
        <v>-1.0784609273934965E-3</v>
      </c>
      <c r="P947">
        <v>0.10198531755478223</v>
      </c>
      <c r="R947">
        <v>0.23136017330264805</v>
      </c>
    </row>
    <row r="948" spans="1:18" x14ac:dyDescent="0.3">
      <c r="A948">
        <v>1.7749999999999841</v>
      </c>
      <c r="B948">
        <v>4.4000000000000002E-6</v>
      </c>
      <c r="D948">
        <v>70.076263281098662</v>
      </c>
      <c r="F948">
        <v>5.8200822436420166E-4</v>
      </c>
      <c r="H948">
        <v>1.7119402135442043E-4</v>
      </c>
      <c r="J948">
        <v>140246.16429656479</v>
      </c>
      <c r="L948">
        <v>1.7749999999999841</v>
      </c>
      <c r="N948">
        <v>-1.0755508862716754E-3</v>
      </c>
      <c r="P948">
        <v>0.10172173034936302</v>
      </c>
      <c r="R948">
        <v>0.20214200692992951</v>
      </c>
    </row>
    <row r="949" spans="1:18" x14ac:dyDescent="0.3">
      <c r="A949">
        <v>1.7699999999999843</v>
      </c>
      <c r="B949">
        <v>4.4000000000000002E-6</v>
      </c>
      <c r="D949">
        <v>70.076263281098662</v>
      </c>
      <c r="F949">
        <v>5.8200822436420166E-4</v>
      </c>
      <c r="H949">
        <v>1.7119402135442043E-4</v>
      </c>
      <c r="J949">
        <v>140246.16429656479</v>
      </c>
      <c r="L949">
        <v>1.7699999999999843</v>
      </c>
      <c r="N949">
        <v>-1.0726408451498543E-3</v>
      </c>
      <c r="P949">
        <v>0.10145808373723501</v>
      </c>
      <c r="R949">
        <v>0.17601512485055829</v>
      </c>
    </row>
    <row r="950" spans="1:18" x14ac:dyDescent="0.3">
      <c r="A950">
        <v>1.7649999999999844</v>
      </c>
      <c r="B950">
        <v>4.4000000000000002E-6</v>
      </c>
      <c r="D950">
        <v>70.076263281098662</v>
      </c>
      <c r="F950">
        <v>5.8200822436420166E-4</v>
      </c>
      <c r="H950">
        <v>1.7119402135442043E-4</v>
      </c>
      <c r="J950">
        <v>140246.16429656479</v>
      </c>
      <c r="L950">
        <v>1.7649999999999844</v>
      </c>
      <c r="N950">
        <v>-1.0697308040280332E-3</v>
      </c>
      <c r="P950">
        <v>0.10119437753713646</v>
      </c>
      <c r="R950">
        <v>0.15273695269788706</v>
      </c>
    </row>
    <row r="951" spans="1:18" x14ac:dyDescent="0.3">
      <c r="A951">
        <v>1.7599999999999845</v>
      </c>
      <c r="B951">
        <v>4.4000000000000002E-6</v>
      </c>
      <c r="D951">
        <v>70.076263281098662</v>
      </c>
      <c r="F951">
        <v>5.8200822436420166E-4</v>
      </c>
      <c r="H951">
        <v>1.7119402135442043E-4</v>
      </c>
      <c r="J951">
        <v>140246.16429656479</v>
      </c>
      <c r="L951">
        <v>1.7599999999999845</v>
      </c>
      <c r="N951">
        <v>-1.0668207629062122E-3</v>
      </c>
      <c r="P951">
        <v>0.1009306115667374</v>
      </c>
      <c r="R951">
        <v>0.13207296952873376</v>
      </c>
    </row>
    <row r="952" spans="1:18" x14ac:dyDescent="0.3">
      <c r="A952">
        <v>1.7549999999999846</v>
      </c>
      <c r="B952">
        <v>4.4000000000000002E-6</v>
      </c>
      <c r="D952">
        <v>70.076263281098662</v>
      </c>
      <c r="F952">
        <v>5.8200822436420166E-4</v>
      </c>
      <c r="H952">
        <v>1.7119402135442043E-4</v>
      </c>
      <c r="J952">
        <v>140246.16429656479</v>
      </c>
      <c r="L952">
        <v>1.7549999999999846</v>
      </c>
      <c r="N952">
        <v>-1.0639107217843911E-3</v>
      </c>
      <c r="P952">
        <v>0.10066678564263033</v>
      </c>
      <c r="R952">
        <v>0.11379786252827002</v>
      </c>
    </row>
    <row r="953" spans="1:18" x14ac:dyDescent="0.3">
      <c r="A953">
        <v>1.7499999999999847</v>
      </c>
      <c r="B953">
        <v>4.4000000000000002E-6</v>
      </c>
      <c r="D953">
        <v>70.076263281098662</v>
      </c>
      <c r="F953">
        <v>5.8200822436420166E-4</v>
      </c>
      <c r="H953">
        <v>1.7119402135442043E-4</v>
      </c>
      <c r="J953">
        <v>140246.16429656479</v>
      </c>
      <c r="L953">
        <v>1.7499999999999847</v>
      </c>
      <c r="N953">
        <v>-1.06100068066257E-3</v>
      </c>
      <c r="P953">
        <v>0.10040289958032084</v>
      </c>
      <c r="R953">
        <v>9.7696485109496481E-2</v>
      </c>
    </row>
    <row r="954" spans="1:18" x14ac:dyDescent="0.3">
      <c r="A954">
        <v>1.7449999999999848</v>
      </c>
      <c r="B954">
        <v>4.4000000000000002E-6</v>
      </c>
      <c r="D954">
        <v>70.076263281098662</v>
      </c>
      <c r="F954">
        <v>5.8200822436420166E-4</v>
      </c>
      <c r="H954">
        <v>1.7119402135442043E-4</v>
      </c>
      <c r="J954">
        <v>140246.16429656479</v>
      </c>
      <c r="L954">
        <v>1.7449999999999848</v>
      </c>
      <c r="N954">
        <v>-1.0580906395407489E-3</v>
      </c>
      <c r="P954">
        <v>0.10013895319421784</v>
      </c>
      <c r="R954">
        <v>8.3564620742667545E-2</v>
      </c>
    </row>
    <row r="955" spans="1:18" x14ac:dyDescent="0.3">
      <c r="A955">
        <v>1.7399999999999849</v>
      </c>
      <c r="B955">
        <v>4.4000000000000002E-6</v>
      </c>
      <c r="D955">
        <v>70.076263281098662</v>
      </c>
      <c r="F955">
        <v>5.8200822436420166E-4</v>
      </c>
      <c r="H955">
        <v>1.7119402135442043E-4</v>
      </c>
      <c r="J955">
        <v>140246.16429656479</v>
      </c>
      <c r="L955">
        <v>1.7399999999999849</v>
      </c>
      <c r="N955">
        <v>-1.0551805984189279E-3</v>
      </c>
      <c r="P955">
        <v>9.9874946297624098E-2</v>
      </c>
      <c r="R955">
        <v>7.1209557912562463E-2</v>
      </c>
    </row>
    <row r="956" spans="1:18" x14ac:dyDescent="0.3">
      <c r="A956">
        <v>1.734999999999985</v>
      </c>
      <c r="B956">
        <v>4.4000000000000002E-6</v>
      </c>
      <c r="D956">
        <v>70.076263281098662</v>
      </c>
      <c r="F956">
        <v>5.8200822436420166E-4</v>
      </c>
      <c r="H956">
        <v>1.7119402135442043E-4</v>
      </c>
      <c r="J956">
        <v>140246.16429656479</v>
      </c>
      <c r="L956">
        <v>1.734999999999985</v>
      </c>
      <c r="N956">
        <v>-1.0522705572971068E-3</v>
      </c>
      <c r="P956">
        <v>9.9610878702726349E-2</v>
      </c>
      <c r="R956">
        <v>6.0450484351097726E-2</v>
      </c>
    </row>
    <row r="957" spans="1:18" x14ac:dyDescent="0.3">
      <c r="A957">
        <v>1.7299999999999851</v>
      </c>
      <c r="B957">
        <v>4.4000000000000002E-6</v>
      </c>
      <c r="D957">
        <v>70.076263281098662</v>
      </c>
      <c r="F957">
        <v>5.8200822436420166E-4</v>
      </c>
      <c r="H957">
        <v>1.7119402135442043E-4</v>
      </c>
      <c r="J957">
        <v>140246.16429656479</v>
      </c>
      <c r="L957">
        <v>1.7299999999999851</v>
      </c>
      <c r="N957">
        <v>-1.0493605161752857E-3</v>
      </c>
      <c r="P957">
        <v>9.9346750220585339E-2</v>
      </c>
      <c r="R957">
        <v>5.111871108619969E-2</v>
      </c>
    </row>
    <row r="958" spans="1:18" x14ac:dyDescent="0.3">
      <c r="A958">
        <v>1.7249999999999852</v>
      </c>
      <c r="B958">
        <v>4.4000000000000002E-6</v>
      </c>
      <c r="D958">
        <v>70.076263281098662</v>
      </c>
      <c r="F958">
        <v>5.8200822436420166E-4</v>
      </c>
      <c r="H958">
        <v>1.7119402135442043E-4</v>
      </c>
      <c r="J958">
        <v>140246.16429656479</v>
      </c>
      <c r="L958">
        <v>1.7249999999999852</v>
      </c>
      <c r="N958">
        <v>-1.0464504750534646E-3</v>
      </c>
      <c r="P958">
        <v>9.908256066112596E-2</v>
      </c>
      <c r="R958">
        <v>4.3057738853549785E-2</v>
      </c>
    </row>
    <row r="959" spans="1:18" x14ac:dyDescent="0.3">
      <c r="A959">
        <v>1.7199999999999853</v>
      </c>
      <c r="B959">
        <v>4.4000000000000002E-6</v>
      </c>
      <c r="D959">
        <v>70.076263281098662</v>
      </c>
      <c r="F959">
        <v>5.8200822436420166E-4</v>
      </c>
      <c r="H959">
        <v>1.7119402135442043E-4</v>
      </c>
      <c r="J959">
        <v>140246.16429656479</v>
      </c>
      <c r="L959">
        <v>1.7199999999999853</v>
      </c>
      <c r="N959">
        <v>-1.0435404339316436E-3</v>
      </c>
      <c r="P959">
        <v>9.8818309833126894E-2</v>
      </c>
      <c r="R959">
        <v>3.6123181016225143E-2</v>
      </c>
    </row>
    <row r="960" spans="1:18" x14ac:dyDescent="0.3">
      <c r="A960">
        <v>1.7149999999999854</v>
      </c>
      <c r="B960">
        <v>4.4000000000000002E-6</v>
      </c>
      <c r="D960">
        <v>70.076263281098662</v>
      </c>
      <c r="F960">
        <v>5.8200822436420166E-4</v>
      </c>
      <c r="H960">
        <v>1.7119402135442043E-4</v>
      </c>
      <c r="J960">
        <v>140246.16429656479</v>
      </c>
      <c r="L960">
        <v>1.7149999999999854</v>
      </c>
      <c r="N960">
        <v>-1.0406303928098225E-3</v>
      </c>
      <c r="P960">
        <v>9.8553997544210528E-2</v>
      </c>
      <c r="R960">
        <v>3.0182558320771921E-2</v>
      </c>
    </row>
    <row r="961" spans="1:18" x14ac:dyDescent="0.3">
      <c r="A961">
        <v>1.7099999999999855</v>
      </c>
      <c r="B961">
        <v>4.4000000000000002E-6</v>
      </c>
      <c r="D961">
        <v>70.076263281098662</v>
      </c>
      <c r="F961">
        <v>5.8200822436420166E-4</v>
      </c>
      <c r="H961">
        <v>1.7119402135442043E-4</v>
      </c>
      <c r="J961">
        <v>140246.16429656479</v>
      </c>
      <c r="L961">
        <v>1.7099999999999855</v>
      </c>
      <c r="N961">
        <v>-1.0377203516880014E-3</v>
      </c>
      <c r="P961">
        <v>9.8289623600832501E-2</v>
      </c>
      <c r="R961">
        <v>2.5114981590716304E-2</v>
      </c>
    </row>
    <row r="962" spans="1:18" x14ac:dyDescent="0.3">
      <c r="A962">
        <v>1.7049999999999856</v>
      </c>
      <c r="B962">
        <v>4.4000000000000002E-6</v>
      </c>
      <c r="D962">
        <v>70.076263281098662</v>
      </c>
      <c r="F962">
        <v>5.8200822436420166E-4</v>
      </c>
      <c r="H962">
        <v>1.7119402135442043E-4</v>
      </c>
      <c r="J962">
        <v>140246.16429656479</v>
      </c>
      <c r="L962">
        <v>1.7049999999999856</v>
      </c>
      <c r="N962">
        <v>-1.0348103105661804E-3</v>
      </c>
      <c r="P962">
        <v>9.8025187808271172E-2</v>
      </c>
      <c r="R962">
        <v>2.0810738834448346E-2</v>
      </c>
    </row>
    <row r="963" spans="1:18" x14ac:dyDescent="0.3">
      <c r="A963">
        <v>1.6999999999999857</v>
      </c>
      <c r="B963">
        <v>4.4000000000000002E-6</v>
      </c>
      <c r="D963">
        <v>70.076263281098662</v>
      </c>
      <c r="F963">
        <v>5.8200822436420166E-4</v>
      </c>
      <c r="H963">
        <v>1.7119402135442043E-4</v>
      </c>
      <c r="J963">
        <v>140246.16429656479</v>
      </c>
      <c r="L963">
        <v>1.6999999999999857</v>
      </c>
      <c r="N963">
        <v>-1.0319002694443593E-3</v>
      </c>
      <c r="P963">
        <v>9.7760689970617029E-2</v>
      </c>
      <c r="R963">
        <v>1.7170803247840299E-2</v>
      </c>
    </row>
    <row r="964" spans="1:18" x14ac:dyDescent="0.3">
      <c r="A964">
        <v>1.6949999999999859</v>
      </c>
      <c r="B964">
        <v>4.4000000000000002E-6</v>
      </c>
      <c r="D964">
        <v>70.076263281098662</v>
      </c>
      <c r="F964">
        <v>5.8200822436420166E-4</v>
      </c>
      <c r="H964">
        <v>1.7119402135442043E-4</v>
      </c>
      <c r="J964">
        <v>140246.16429656479</v>
      </c>
      <c r="L964">
        <v>1.6949999999999859</v>
      </c>
      <c r="N964">
        <v>-1.0289902283225382E-3</v>
      </c>
      <c r="P964">
        <v>9.7496129890761909E-2</v>
      </c>
      <c r="R964">
        <v>1.4106278255074638E-2</v>
      </c>
    </row>
    <row r="965" spans="1:18" x14ac:dyDescent="0.3">
      <c r="A965">
        <v>1.689999999999986</v>
      </c>
      <c r="B965">
        <v>4.4000000000000002E-6</v>
      </c>
      <c r="D965">
        <v>70.076263281098662</v>
      </c>
      <c r="F965">
        <v>5.8200822436420166E-4</v>
      </c>
      <c r="H965">
        <v>1.7119402135442043E-4</v>
      </c>
      <c r="J965">
        <v>140246.16429656479</v>
      </c>
      <c r="L965">
        <v>1.689999999999986</v>
      </c>
      <c r="N965">
        <v>-1.0260801872007171E-3</v>
      </c>
      <c r="P965">
        <v>9.7231507370388076E-2</v>
      </c>
      <c r="R965">
        <v>1.1537795092740619E-2</v>
      </c>
    </row>
    <row r="966" spans="1:18" x14ac:dyDescent="0.3">
      <c r="A966">
        <v>1.6849999999999861</v>
      </c>
      <c r="B966">
        <v>4.4000000000000002E-6</v>
      </c>
      <c r="D966">
        <v>70.076263281098662</v>
      </c>
      <c r="F966">
        <v>5.8200822436420166E-4</v>
      </c>
      <c r="H966">
        <v>1.7119402135442043E-4</v>
      </c>
      <c r="J966">
        <v>140246.16429656479</v>
      </c>
      <c r="L966">
        <v>1.6849999999999861</v>
      </c>
      <c r="N966">
        <v>-1.0231701460788961E-3</v>
      </c>
      <c r="P966">
        <v>9.6966822209957296E-2</v>
      </c>
      <c r="R966">
        <v>9.3948775460067843E-3</v>
      </c>
    </row>
    <row r="967" spans="1:18" x14ac:dyDescent="0.3">
      <c r="A967">
        <v>1.6799999999999862</v>
      </c>
      <c r="B967">
        <v>4.4000000000000002E-6</v>
      </c>
      <c r="D967">
        <v>70.076263281098662</v>
      </c>
      <c r="F967">
        <v>5.8200822436420166E-4</v>
      </c>
      <c r="H967">
        <v>1.7119402135442043E-4</v>
      </c>
      <c r="J967">
        <v>140246.16429656479</v>
      </c>
      <c r="L967">
        <v>1.6799999999999862</v>
      </c>
      <c r="N967">
        <v>-1.020260104957075E-3</v>
      </c>
      <c r="P967">
        <v>9.6702074208699529E-2</v>
      </c>
      <c r="R967">
        <v>7.6152873384697705E-3</v>
      </c>
    </row>
    <row r="968" spans="1:18" x14ac:dyDescent="0.3">
      <c r="A968">
        <v>1.6749999999999863</v>
      </c>
      <c r="B968">
        <v>4.4000000000000002E-6</v>
      </c>
      <c r="D968">
        <v>70.076263281098662</v>
      </c>
      <c r="F968">
        <v>5.8200822436420166E-4</v>
      </c>
      <c r="H968">
        <v>1.7119402135442043E-4</v>
      </c>
      <c r="J968">
        <v>140246.16429656479</v>
      </c>
      <c r="L968">
        <v>1.6749999999999863</v>
      </c>
      <c r="N968">
        <v>-1.0173500638352539E-3</v>
      </c>
      <c r="P968">
        <v>9.6437263164601772E-2</v>
      </c>
      <c r="R968">
        <v>6.1443624074710053E-3</v>
      </c>
    </row>
    <row r="969" spans="1:18" x14ac:dyDescent="0.3">
      <c r="A969">
        <v>1.6699999999999864</v>
      </c>
      <c r="B969">
        <v>4.4000000000000002E-6</v>
      </c>
      <c r="D969">
        <v>70.076263281098662</v>
      </c>
      <c r="F969">
        <v>5.8200822436420166E-4</v>
      </c>
      <c r="H969">
        <v>1.7119402135442043E-4</v>
      </c>
      <c r="J969">
        <v>140246.16429656479</v>
      </c>
      <c r="L969">
        <v>1.6699999999999864</v>
      </c>
      <c r="N969">
        <v>-1.0144400227134328E-3</v>
      </c>
      <c r="P969">
        <v>9.6172388874396567E-2</v>
      </c>
      <c r="R969">
        <v>4.934358912463124E-3</v>
      </c>
    </row>
    <row r="970" spans="1:18" x14ac:dyDescent="0.3">
      <c r="A970">
        <v>1.6649999999999865</v>
      </c>
      <c r="B970">
        <v>4.4000000000000002E-6</v>
      </c>
      <c r="D970">
        <v>70.076263281098662</v>
      </c>
      <c r="F970">
        <v>5.8200822436420166E-4</v>
      </c>
      <c r="H970">
        <v>1.7119402135442043E-4</v>
      </c>
      <c r="J970">
        <v>140246.16429656479</v>
      </c>
      <c r="L970">
        <v>1.6649999999999865</v>
      </c>
      <c r="N970">
        <v>-1.0115299815916118E-3</v>
      </c>
      <c r="P970">
        <v>9.5907451133550439E-2</v>
      </c>
      <c r="R970">
        <v>3.943806371958191E-3</v>
      </c>
    </row>
    <row r="971" spans="1:18" x14ac:dyDescent="0.3">
      <c r="A971">
        <v>1.6599999999999866</v>
      </c>
      <c r="B971">
        <v>4.4000000000000002E-6</v>
      </c>
      <c r="D971">
        <v>70.076263281098662</v>
      </c>
      <c r="F971">
        <v>5.8200822436420166E-4</v>
      </c>
      <c r="H971">
        <v>1.7119402135442043E-4</v>
      </c>
      <c r="J971">
        <v>140246.16429656479</v>
      </c>
      <c r="L971">
        <v>1.6599999999999866</v>
      </c>
      <c r="N971">
        <v>-1.0086199404697907E-3</v>
      </c>
      <c r="P971">
        <v>9.5642449736252175E-2</v>
      </c>
      <c r="R971">
        <v>3.1368838483146044E-3</v>
      </c>
    </row>
    <row r="972" spans="1:18" x14ac:dyDescent="0.3">
      <c r="A972">
        <v>1.6549999999999867</v>
      </c>
      <c r="B972">
        <v>4.4000000000000002E-6</v>
      </c>
      <c r="D972">
        <v>70.076263281098662</v>
      </c>
      <c r="F972">
        <v>5.8200822436420166E-4</v>
      </c>
      <c r="H972">
        <v>1.7119402135442043E-4</v>
      </c>
      <c r="J972">
        <v>140246.16429656479</v>
      </c>
      <c r="L972">
        <v>1.6549999999999867</v>
      </c>
      <c r="N972">
        <v>-1.0057098993479696E-3</v>
      </c>
      <c r="P972">
        <v>9.537738447540102E-2</v>
      </c>
      <c r="R972">
        <v>2.482823638704109E-3</v>
      </c>
    </row>
    <row r="973" spans="1:18" x14ac:dyDescent="0.3">
      <c r="A973">
        <v>1.6499999999999868</v>
      </c>
      <c r="B973">
        <v>4.4000000000000002E-6</v>
      </c>
      <c r="D973">
        <v>70.076263281098662</v>
      </c>
      <c r="F973">
        <v>5.8200822436420166E-4</v>
      </c>
      <c r="H973">
        <v>1.7119402135442043E-4</v>
      </c>
      <c r="J973">
        <v>140246.16429656479</v>
      </c>
      <c r="L973">
        <v>1.6499999999999868</v>
      </c>
      <c r="N973">
        <v>-1.0027998582261485E-3</v>
      </c>
      <c r="P973">
        <v>9.5112255142594582E-2</v>
      </c>
      <c r="R973">
        <v>1.9553475197582148E-3</v>
      </c>
    </row>
    <row r="974" spans="1:18" x14ac:dyDescent="0.3">
      <c r="A974">
        <v>1.6449999999999869</v>
      </c>
      <c r="B974">
        <v>4.4000000000000002E-6</v>
      </c>
      <c r="D974">
        <v>70.076263281098662</v>
      </c>
      <c r="F974">
        <v>5.8200822436420166E-4</v>
      </c>
      <c r="H974">
        <v>1.7119402135442043E-4</v>
      </c>
      <c r="J974">
        <v>140246.16429656479</v>
      </c>
      <c r="L974">
        <v>1.6449999999999869</v>
      </c>
      <c r="N974">
        <v>-9.9988981710432746E-4</v>
      </c>
      <c r="P974">
        <v>9.4847061528116783E-2</v>
      </c>
      <c r="R974">
        <v>1.5321392618790151E-3</v>
      </c>
    </row>
    <row r="975" spans="1:18" x14ac:dyDescent="0.3">
      <c r="A975">
        <v>1.639999999999987</v>
      </c>
      <c r="B975">
        <v>4.4000000000000002E-6</v>
      </c>
      <c r="D975">
        <v>70.076263281098662</v>
      </c>
      <c r="F975">
        <v>5.8200822436420166E-4</v>
      </c>
      <c r="H975">
        <v>1.7119402135442043E-4</v>
      </c>
      <c r="J975">
        <v>140246.16429656479</v>
      </c>
      <c r="L975">
        <v>1.639999999999987</v>
      </c>
      <c r="N975">
        <v>-9.9697977598250638E-4</v>
      </c>
      <c r="P975">
        <v>9.4581803420925453E-2</v>
      </c>
      <c r="R975">
        <v>1.194355900475101E-3</v>
      </c>
    </row>
    <row r="976" spans="1:18" x14ac:dyDescent="0.3">
      <c r="A976">
        <v>1.6349999999999871</v>
      </c>
      <c r="B976">
        <v>4.4000000000000002E-6</v>
      </c>
      <c r="D976">
        <v>70.076263281098662</v>
      </c>
      <c r="F976">
        <v>5.8200822436420166E-4</v>
      </c>
      <c r="H976">
        <v>1.7119402135442043E-4</v>
      </c>
      <c r="J976">
        <v>140246.16429656479</v>
      </c>
      <c r="L976">
        <v>1.6349999999999871</v>
      </c>
      <c r="N976">
        <v>-9.9406973486068531E-4</v>
      </c>
      <c r="P976">
        <v>9.4316480608640049E-2</v>
      </c>
      <c r="R976">
        <v>9.2617914302726501E-4</v>
      </c>
    </row>
    <row r="977" spans="1:18" x14ac:dyDescent="0.3">
      <c r="A977">
        <v>1.6299999999999872</v>
      </c>
      <c r="B977">
        <v>4.4000000000000002E-6</v>
      </c>
      <c r="D977">
        <v>70.076263281098662</v>
      </c>
      <c r="F977">
        <v>5.8200822436420166E-4</v>
      </c>
      <c r="H977">
        <v>1.7119402135442043E-4</v>
      </c>
      <c r="J977">
        <v>140246.16429656479</v>
      </c>
      <c r="L977">
        <v>1.6299999999999872</v>
      </c>
      <c r="N977">
        <v>-9.9115969373886424E-4</v>
      </c>
      <c r="P977">
        <v>9.405109287752883E-2</v>
      </c>
      <c r="R977">
        <v>7.144073147260328E-4</v>
      </c>
    </row>
    <row r="978" spans="1:18" x14ac:dyDescent="0.3">
      <c r="A978">
        <v>1.6249999999999873</v>
      </c>
      <c r="B978">
        <v>4.4000000000000002E-6</v>
      </c>
      <c r="D978">
        <v>70.076263281098662</v>
      </c>
      <c r="F978">
        <v>5.8200822436420166E-4</v>
      </c>
      <c r="H978">
        <v>1.7119402135442043E-4</v>
      </c>
      <c r="J978">
        <v>140246.16429656479</v>
      </c>
      <c r="L978">
        <v>1.6249999999999873</v>
      </c>
      <c r="N978">
        <v>-9.8824965261704316E-4</v>
      </c>
      <c r="P978">
        <v>9.3785640012496216E-2</v>
      </c>
      <c r="R978">
        <v>5.4808740784911695E-4</v>
      </c>
    </row>
    <row r="979" spans="1:18" x14ac:dyDescent="0.3">
      <c r="A979">
        <v>1.6199999999999875</v>
      </c>
      <c r="B979">
        <v>4.4000000000000002E-6</v>
      </c>
      <c r="D979">
        <v>70.076263281098662</v>
      </c>
      <c r="F979">
        <v>5.8200822436420166E-4</v>
      </c>
      <c r="H979">
        <v>1.7119402135442043E-4</v>
      </c>
      <c r="J979">
        <v>140246.16429656479</v>
      </c>
      <c r="L979">
        <v>1.6199999999999875</v>
      </c>
      <c r="N979">
        <v>-9.8533961149522209E-4</v>
      </c>
      <c r="P979">
        <v>9.3520121797069866E-2</v>
      </c>
      <c r="R979">
        <v>4.181861025102778E-4</v>
      </c>
    </row>
    <row r="980" spans="1:18" x14ac:dyDescent="0.3">
      <c r="A980">
        <v>1.6149999999999876</v>
      </c>
      <c r="B980">
        <v>4.4000000000000002E-6</v>
      </c>
      <c r="D980">
        <v>70.076263281098662</v>
      </c>
      <c r="F980">
        <v>5.8200822436420166E-4</v>
      </c>
      <c r="H980">
        <v>1.7119402135442043E-4</v>
      </c>
      <c r="J980">
        <v>140246.16429656479</v>
      </c>
      <c r="L980">
        <v>1.6149999999999876</v>
      </c>
      <c r="N980">
        <v>-9.8242957037340101E-4</v>
      </c>
      <c r="P980">
        <v>9.3254538013387539E-2</v>
      </c>
      <c r="R980">
        <v>3.172980660187819E-4</v>
      </c>
    </row>
    <row r="981" spans="1:18" x14ac:dyDescent="0.3">
      <c r="A981">
        <v>1.6099999999999877</v>
      </c>
      <c r="B981">
        <v>4.4000000000000002E-6</v>
      </c>
      <c r="D981">
        <v>70.076263281098662</v>
      </c>
      <c r="F981">
        <v>5.8200822436420166E-4</v>
      </c>
      <c r="H981">
        <v>1.7119402135442043E-4</v>
      </c>
      <c r="J981">
        <v>140246.16429656479</v>
      </c>
      <c r="L981">
        <v>1.6099999999999877</v>
      </c>
      <c r="N981">
        <v>-9.7951952925157994E-4</v>
      </c>
      <c r="P981">
        <v>9.2988888442183892E-2</v>
      </c>
      <c r="R981">
        <v>2.3938940829344171E-4</v>
      </c>
    </row>
    <row r="982" spans="1:18" x14ac:dyDescent="0.3">
      <c r="A982">
        <v>1.6049999999999878</v>
      </c>
      <c r="B982">
        <v>4.4000000000000002E-6</v>
      </c>
      <c r="D982">
        <v>70.076263281098662</v>
      </c>
      <c r="F982">
        <v>5.8200822436420166E-4</v>
      </c>
      <c r="H982">
        <v>1.7119402135442043E-4</v>
      </c>
      <c r="J982">
        <v>140246.16429656479</v>
      </c>
      <c r="L982">
        <v>1.6049999999999878</v>
      </c>
      <c r="N982">
        <v>-9.7660948812975886E-4</v>
      </c>
      <c r="P982">
        <v>9.2723172862776981E-2</v>
      </c>
      <c r="R982">
        <v>1.7957386210908389E-4</v>
      </c>
    </row>
    <row r="983" spans="1:18" x14ac:dyDescent="0.3">
      <c r="A983">
        <v>1.5999999999999879</v>
      </c>
      <c r="B983">
        <v>4.4000000000000002E-6</v>
      </c>
      <c r="D983">
        <v>70.076263281098662</v>
      </c>
      <c r="F983">
        <v>5.8200822436420166E-4</v>
      </c>
      <c r="H983">
        <v>1.7119402135442043E-4</v>
      </c>
      <c r="J983">
        <v>140246.16429656479</v>
      </c>
      <c r="L983">
        <v>1.5999999999999879</v>
      </c>
      <c r="N983">
        <v>-9.7369944700793779E-4</v>
      </c>
      <c r="P983">
        <v>9.2457391053054769E-2</v>
      </c>
      <c r="R983">
        <v>1.3391905776923368E-4</v>
      </c>
    </row>
    <row r="984" spans="1:18" x14ac:dyDescent="0.3">
      <c r="A984">
        <v>1.594999999999988</v>
      </c>
      <c r="B984">
        <v>4.4000000000000002E-6</v>
      </c>
      <c r="D984">
        <v>70.076263281098662</v>
      </c>
      <c r="F984">
        <v>5.8200822436420166E-4</v>
      </c>
      <c r="H984">
        <v>1.7119402135442043E-4</v>
      </c>
      <c r="J984">
        <v>140246.16429656479</v>
      </c>
      <c r="L984">
        <v>1.594999999999988</v>
      </c>
      <c r="N984">
        <v>-9.7078940588611682E-4</v>
      </c>
      <c r="P984">
        <v>9.219154278946122E-2</v>
      </c>
      <c r="R984">
        <v>9.9280158990976239E-5</v>
      </c>
    </row>
    <row r="985" spans="1:18" x14ac:dyDescent="0.3">
      <c r="A985">
        <v>1.5899999999999881</v>
      </c>
      <c r="B985">
        <v>4.4000000000000002E-6</v>
      </c>
      <c r="D985">
        <v>70.076263281098662</v>
      </c>
      <c r="F985">
        <v>5.8200822436420166E-4</v>
      </c>
      <c r="H985">
        <v>1.7119402135442043E-4</v>
      </c>
      <c r="J985">
        <v>140246.16429656479</v>
      </c>
      <c r="L985">
        <v>1.5899999999999881</v>
      </c>
      <c r="N985">
        <v>-9.6787936476429586E-4</v>
      </c>
      <c r="P985">
        <v>9.1925627846982536E-2</v>
      </c>
      <c r="R985">
        <v>7.3158106462098787E-5</v>
      </c>
    </row>
    <row r="986" spans="1:18" x14ac:dyDescent="0.3">
      <c r="A986">
        <v>1.5849999999999882</v>
      </c>
      <c r="B986">
        <v>4.4000000000000002E-6</v>
      </c>
      <c r="D986">
        <v>70.076263281098662</v>
      </c>
      <c r="F986">
        <v>5.8200822436420166E-4</v>
      </c>
      <c r="H986">
        <v>1.7119402135442043E-4</v>
      </c>
      <c r="J986">
        <v>140246.16429656479</v>
      </c>
      <c r="L986">
        <v>1.5849999999999882</v>
      </c>
      <c r="N986">
        <v>-9.6496932364247489E-4</v>
      </c>
      <c r="P986">
        <v>9.1659645999132885E-2</v>
      </c>
      <c r="R986">
        <v>5.3579763604635201E-5</v>
      </c>
    </row>
    <row r="987" spans="1:18" x14ac:dyDescent="0.3">
      <c r="A987">
        <v>1.5799999999999883</v>
      </c>
      <c r="B987">
        <v>4.4000000000000002E-6</v>
      </c>
      <c r="D987">
        <v>70.076263281098662</v>
      </c>
      <c r="F987">
        <v>5.8200822436420166E-4</v>
      </c>
      <c r="H987">
        <v>1.7119402135442043E-4</v>
      </c>
      <c r="J987">
        <v>140246.16429656479</v>
      </c>
      <c r="L987">
        <v>1.5799999999999883</v>
      </c>
      <c r="N987">
        <v>-9.6205928252065392E-4</v>
      </c>
      <c r="P987">
        <v>9.1393597017940156E-2</v>
      </c>
      <c r="R987">
        <v>3.8997361798101176E-5</v>
      </c>
    </row>
    <row r="988" spans="1:18" x14ac:dyDescent="0.3">
      <c r="A988">
        <v>1.5749999999999884</v>
      </c>
      <c r="B988">
        <v>4.4000000000000002E-6</v>
      </c>
      <c r="D988">
        <v>70.076263281098662</v>
      </c>
      <c r="F988">
        <v>5.8200822436420166E-4</v>
      </c>
      <c r="H988">
        <v>1.7119402135442043E-4</v>
      </c>
      <c r="J988">
        <v>140246.16429656479</v>
      </c>
      <c r="L988">
        <v>1.5749999999999884</v>
      </c>
      <c r="N988">
        <v>-9.5914924139883296E-4</v>
      </c>
      <c r="P988">
        <v>9.1127480673931463E-2</v>
      </c>
      <c r="R988">
        <v>2.820478667368902E-5</v>
      </c>
    </row>
    <row r="989" spans="1:18" x14ac:dyDescent="0.3">
      <c r="A989">
        <v>1.5699999999999885</v>
      </c>
      <c r="B989">
        <v>4.4000000000000002E-6</v>
      </c>
      <c r="D989">
        <v>70.076263281098662</v>
      </c>
      <c r="F989">
        <v>5.8200822436420166E-4</v>
      </c>
      <c r="H989">
        <v>1.7119402135442043E-4</v>
      </c>
      <c r="J989">
        <v>140246.16429656479</v>
      </c>
      <c r="L989">
        <v>1.5699999999999885</v>
      </c>
      <c r="N989">
        <v>-9.5623920027701199E-4</v>
      </c>
      <c r="P989">
        <v>9.0861296736118466E-2</v>
      </c>
      <c r="R989">
        <v>2.026842115312366E-5</v>
      </c>
    </row>
    <row r="990" spans="1:18" x14ac:dyDescent="0.3">
      <c r="A990">
        <v>1.5649999999999886</v>
      </c>
      <c r="B990">
        <v>4.4000000000000002E-6</v>
      </c>
      <c r="D990">
        <v>70.076263281098662</v>
      </c>
      <c r="F990">
        <v>5.8200822436420166E-4</v>
      </c>
      <c r="H990">
        <v>1.7119402135442043E-4</v>
      </c>
      <c r="J990">
        <v>140246.16429656479</v>
      </c>
      <c r="L990">
        <v>1.5649999999999886</v>
      </c>
      <c r="N990">
        <v>-9.5332915915519103E-4</v>
      </c>
      <c r="P990">
        <v>9.0595044971982522E-2</v>
      </c>
      <c r="R990">
        <v>1.4470454037948988E-5</v>
      </c>
    </row>
    <row r="991" spans="1:18" x14ac:dyDescent="0.3">
      <c r="A991">
        <v>1.5599999999999887</v>
      </c>
      <c r="B991">
        <v>4.4000000000000002E-6</v>
      </c>
      <c r="D991">
        <v>70.076263281098662</v>
      </c>
      <c r="F991">
        <v>5.8200822436420166E-4</v>
      </c>
      <c r="H991">
        <v>1.7119402135442043E-4</v>
      </c>
      <c r="J991">
        <v>140246.16429656479</v>
      </c>
      <c r="L991">
        <v>1.5599999999999887</v>
      </c>
      <c r="N991">
        <v>-9.5041911803337006E-4</v>
      </c>
      <c r="P991">
        <v>9.0328725147459613E-2</v>
      </c>
      <c r="R991">
        <v>1.0262765959153438E-5</v>
      </c>
    </row>
    <row r="992" spans="1:18" x14ac:dyDescent="0.3">
      <c r="A992">
        <v>1.5549999999999888</v>
      </c>
      <c r="B992">
        <v>4.4000000000000002E-6</v>
      </c>
      <c r="D992">
        <v>70.076263281098662</v>
      </c>
      <c r="F992">
        <v>5.8200822436420166E-4</v>
      </c>
      <c r="H992">
        <v>1.7119402135442043E-4</v>
      </c>
      <c r="J992">
        <v>140246.16429656479</v>
      </c>
      <c r="L992">
        <v>1.5549999999999888</v>
      </c>
      <c r="N992">
        <v>-9.4750907691154909E-4</v>
      </c>
      <c r="P992">
        <v>9.0062337026925093E-2</v>
      </c>
      <c r="R992">
        <v>7.2297096698162948E-6</v>
      </c>
    </row>
    <row r="993" spans="1:18" x14ac:dyDescent="0.3">
      <c r="A993">
        <v>1.5499999999999889</v>
      </c>
      <c r="B993">
        <v>4.4000000000000002E-6</v>
      </c>
      <c r="D993">
        <v>70.076263281098662</v>
      </c>
      <c r="F993">
        <v>5.8200822436420166E-4</v>
      </c>
      <c r="H993">
        <v>1.7119402135442043E-4</v>
      </c>
      <c r="J993">
        <v>140246.16429656479</v>
      </c>
      <c r="L993">
        <v>1.5499999999999889</v>
      </c>
      <c r="N993">
        <v>-9.4459903578972813E-4</v>
      </c>
      <c r="P993">
        <v>8.9795880373178177E-2</v>
      </c>
      <c r="R993">
        <v>5.0583027831423167E-6</v>
      </c>
    </row>
    <row r="994" spans="1:18" x14ac:dyDescent="0.3">
      <c r="A994">
        <v>1.544999999999989</v>
      </c>
      <c r="B994">
        <v>4.4000000000000002E-6</v>
      </c>
      <c r="D994">
        <v>70.076263281098662</v>
      </c>
      <c r="F994">
        <v>5.8200822436420166E-4</v>
      </c>
      <c r="H994">
        <v>1.7119402135442043E-4</v>
      </c>
      <c r="J994">
        <v>140246.16429656479</v>
      </c>
      <c r="L994">
        <v>1.544999999999989</v>
      </c>
      <c r="N994">
        <v>-9.4168899466790716E-4</v>
      </c>
      <c r="P994">
        <v>8.9529354947426379E-2</v>
      </c>
      <c r="R994">
        <v>3.5145433160228135E-6</v>
      </c>
    </row>
    <row r="995" spans="1:18" x14ac:dyDescent="0.3">
      <c r="A995">
        <v>1.5399999999999892</v>
      </c>
      <c r="B995">
        <v>4.4000000000000002E-6</v>
      </c>
      <c r="D995">
        <v>70.076263281098662</v>
      </c>
      <c r="F995">
        <v>5.8200822436420166E-4</v>
      </c>
      <c r="H995">
        <v>1.7119402135442043E-4</v>
      </c>
      <c r="J995">
        <v>140246.16429656479</v>
      </c>
      <c r="L995">
        <v>1.5399999999999892</v>
      </c>
      <c r="N995">
        <v>-9.387789535460862E-4</v>
      </c>
      <c r="P995">
        <v>8.9262760509269554E-2</v>
      </c>
      <c r="R995">
        <v>2.4247382862396172E-6</v>
      </c>
    </row>
    <row r="996" spans="1:18" x14ac:dyDescent="0.3">
      <c r="A996">
        <v>1.5349999999999893</v>
      </c>
      <c r="B996">
        <v>4.4000000000000002E-6</v>
      </c>
      <c r="D996">
        <v>70.076263281098662</v>
      </c>
      <c r="F996">
        <v>5.8200822436420166E-4</v>
      </c>
      <c r="H996">
        <v>1.7119402135442043E-4</v>
      </c>
      <c r="J996">
        <v>140246.16429656479</v>
      </c>
      <c r="L996">
        <v>1.5349999999999893</v>
      </c>
      <c r="N996">
        <v>-9.3586891242426523E-4</v>
      </c>
      <c r="P996">
        <v>8.8996096816683884E-2</v>
      </c>
      <c r="R996">
        <v>1.6609007806790118E-6</v>
      </c>
    </row>
    <row r="997" spans="1:18" x14ac:dyDescent="0.3">
      <c r="A997">
        <v>1.5299999999999894</v>
      </c>
      <c r="B997">
        <v>4.4000000000000002E-6</v>
      </c>
      <c r="D997">
        <v>70.076263281098662</v>
      </c>
      <c r="F997">
        <v>5.8200822436420166E-4</v>
      </c>
      <c r="H997">
        <v>1.7119402135442043E-4</v>
      </c>
      <c r="J997">
        <v>140246.16429656479</v>
      </c>
      <c r="L997">
        <v>1.5299999999999894</v>
      </c>
      <c r="N997">
        <v>-9.3295887130244426E-4</v>
      </c>
      <c r="P997">
        <v>8.8729363626005572E-2</v>
      </c>
      <c r="R997">
        <v>1.1294200124348107E-6</v>
      </c>
    </row>
    <row r="998" spans="1:18" x14ac:dyDescent="0.3">
      <c r="A998">
        <v>1.5249999999999895</v>
      </c>
      <c r="B998">
        <v>4.4000000000000002E-6</v>
      </c>
      <c r="D998">
        <v>70.076263281098662</v>
      </c>
      <c r="F998">
        <v>5.8200822436420166E-4</v>
      </c>
      <c r="H998">
        <v>1.7119402135442043E-4</v>
      </c>
      <c r="J998">
        <v>140246.16429656479</v>
      </c>
      <c r="L998">
        <v>1.5249999999999895</v>
      </c>
      <c r="N998">
        <v>-9.300488301806233E-4</v>
      </c>
      <c r="P998">
        <v>8.8462560691914244E-2</v>
      </c>
      <c r="R998">
        <v>7.6234139805802189E-7</v>
      </c>
    </row>
    <row r="999" spans="1:18" x14ac:dyDescent="0.3">
      <c r="A999">
        <v>1.5199999999999896</v>
      </c>
      <c r="B999">
        <v>4.4000000000000002E-6</v>
      </c>
      <c r="D999">
        <v>70.076263281098662</v>
      </c>
      <c r="F999">
        <v>5.8200822436420166E-4</v>
      </c>
      <c r="H999">
        <v>1.7119402135442043E-4</v>
      </c>
      <c r="J999">
        <v>140246.16429656479</v>
      </c>
      <c r="L999">
        <v>1.5199999999999896</v>
      </c>
      <c r="N999">
        <v>-9.2713878905880233E-4</v>
      </c>
      <c r="P999">
        <v>8.8195687767416375E-2</v>
      </c>
      <c r="R999">
        <v>5.1070976002358592E-7</v>
      </c>
    </row>
    <row r="1000" spans="1:18" x14ac:dyDescent="0.3">
      <c r="A1000">
        <v>1.5149999999999897</v>
      </c>
      <c r="B1000">
        <v>4.4000000000000002E-6</v>
      </c>
      <c r="D1000">
        <v>70.076263281098662</v>
      </c>
      <c r="F1000">
        <v>5.8200822436420166E-4</v>
      </c>
      <c r="H1000">
        <v>1.7119402135442043E-4</v>
      </c>
      <c r="J1000">
        <v>140246.16429656479</v>
      </c>
      <c r="L1000">
        <v>1.5149999999999897</v>
      </c>
      <c r="N1000">
        <v>-9.2422874793698137E-4</v>
      </c>
      <c r="P1000">
        <v>8.7928744603828227E-2</v>
      </c>
      <c r="R1000">
        <v>3.3952905039900251E-7</v>
      </c>
    </row>
    <row r="1001" spans="1:18" x14ac:dyDescent="0.3">
      <c r="A1001">
        <v>1.5099999999999898</v>
      </c>
      <c r="B1001">
        <v>4.4000000000000002E-6</v>
      </c>
      <c r="D1001">
        <v>70.076263281098662</v>
      </c>
      <c r="F1001">
        <v>5.8200822436420166E-4</v>
      </c>
      <c r="H1001">
        <v>1.7119402135442043E-4</v>
      </c>
      <c r="J1001">
        <v>140246.16429656479</v>
      </c>
      <c r="L1001">
        <v>1.5099999999999898</v>
      </c>
      <c r="N1001">
        <v>-9.213187068151604E-4</v>
      </c>
      <c r="P1001">
        <v>8.7661730950758646E-2</v>
      </c>
      <c r="R1001">
        <v>2.2397752261927249E-7</v>
      </c>
    </row>
    <row r="1002" spans="1:18" x14ac:dyDescent="0.3">
      <c r="A1002">
        <v>1.5049999999999899</v>
      </c>
      <c r="B1002">
        <v>4.4000000000000002E-6</v>
      </c>
      <c r="D1002">
        <v>70.076263281098662</v>
      </c>
      <c r="F1002">
        <v>5.8200822436420166E-4</v>
      </c>
      <c r="H1002">
        <v>1.7119402135442043E-4</v>
      </c>
      <c r="J1002">
        <v>140246.16429656479</v>
      </c>
      <c r="L1002">
        <v>1.5049999999999899</v>
      </c>
      <c r="N1002">
        <v>-9.1840866569333943E-4</v>
      </c>
      <c r="P1002">
        <v>8.7394646556091776E-2</v>
      </c>
      <c r="R1002">
        <v>1.4658931292265487E-7</v>
      </c>
    </row>
    <row r="1003" spans="1:18" x14ac:dyDescent="0.3">
      <c r="A1003">
        <v>1.49999999999999</v>
      </c>
      <c r="B1003">
        <v>4.4000000000000002E-6</v>
      </c>
      <c r="D1003">
        <v>70.076263281098662</v>
      </c>
      <c r="F1003">
        <v>5.8200822436420166E-4</v>
      </c>
      <c r="H1003">
        <v>1.7119402135442043E-4</v>
      </c>
      <c r="J1003">
        <v>140246.16429656479</v>
      </c>
      <c r="L1003">
        <v>1.49999999999999</v>
      </c>
      <c r="N1003">
        <v>-9.1549862457151847E-4</v>
      </c>
      <c r="P1003">
        <v>8.7127491165969254E-2</v>
      </c>
      <c r="R1003">
        <v>9.5173329790270798E-8</v>
      </c>
    </row>
    <row r="1004" spans="1:18" x14ac:dyDescent="0.3">
      <c r="A1004">
        <v>1.4949999999999901</v>
      </c>
      <c r="B1004">
        <v>4.4000000000000002E-6</v>
      </c>
      <c r="D1004">
        <v>70.076263281098662</v>
      </c>
      <c r="F1004">
        <v>5.8200822436420166E-4</v>
      </c>
      <c r="H1004">
        <v>1.7119402135442043E-4</v>
      </c>
      <c r="J1004">
        <v>140246.16429656479</v>
      </c>
      <c r="L1004">
        <v>1.4949999999999901</v>
      </c>
      <c r="N1004">
        <v>-9.125885834496975E-4</v>
      </c>
      <c r="P1004">
        <v>8.6860264524772413E-2</v>
      </c>
      <c r="R1004">
        <v>6.1289635345401177E-8</v>
      </c>
    </row>
    <row r="1005" spans="1:18" x14ac:dyDescent="0.3">
      <c r="A1005">
        <v>1.4899999999999902</v>
      </c>
      <c r="B1005">
        <v>4.4000000000000002E-6</v>
      </c>
      <c r="D1005">
        <v>70.076263281098662</v>
      </c>
      <c r="F1005">
        <v>5.8200822436420166E-4</v>
      </c>
      <c r="H1005">
        <v>1.7119402135442043E-4</v>
      </c>
      <c r="J1005">
        <v>140246.16429656479</v>
      </c>
      <c r="L1005">
        <v>1.4899999999999902</v>
      </c>
      <c r="N1005">
        <v>-9.0967854232787654E-4</v>
      </c>
      <c r="P1005">
        <v>8.659296637510415E-2</v>
      </c>
      <c r="R1005">
        <v>3.9143564762237024E-8</v>
      </c>
    </row>
    <row r="1006" spans="1:18" x14ac:dyDescent="0.3">
      <c r="A1006">
        <v>1.4849999999999903</v>
      </c>
      <c r="B1006">
        <v>4.4000000000000002E-6</v>
      </c>
      <c r="D1006">
        <v>70.076263281098662</v>
      </c>
      <c r="F1006">
        <v>5.8200822436420166E-4</v>
      </c>
      <c r="H1006">
        <v>1.7119402135442043E-4</v>
      </c>
      <c r="J1006">
        <v>140246.16429656479</v>
      </c>
      <c r="L1006">
        <v>1.4849999999999903</v>
      </c>
      <c r="N1006">
        <v>-9.0676850120605557E-4</v>
      </c>
      <c r="P1006">
        <v>8.6325596457770451E-2</v>
      </c>
      <c r="R1006">
        <v>2.479002726462616E-8</v>
      </c>
    </row>
    <row r="1007" spans="1:18" x14ac:dyDescent="0.3">
      <c r="A1007">
        <v>1.4799999999999904</v>
      </c>
      <c r="B1007">
        <v>4.4000000000000002E-6</v>
      </c>
      <c r="D1007">
        <v>70.076263281098662</v>
      </c>
      <c r="F1007">
        <v>5.8200822436420166E-4</v>
      </c>
      <c r="H1007">
        <v>1.7119402135442043E-4</v>
      </c>
      <c r="J1007">
        <v>140246.16429656479</v>
      </c>
      <c r="L1007">
        <v>1.4799999999999904</v>
      </c>
      <c r="N1007">
        <v>-9.038584600842346E-4</v>
      </c>
      <c r="P1007">
        <v>8.6058154511761867E-2</v>
      </c>
      <c r="R1007">
        <v>1.5566021466592889E-8</v>
      </c>
    </row>
    <row r="1008" spans="1:18" x14ac:dyDescent="0.3">
      <c r="A1008">
        <v>1.4749999999999905</v>
      </c>
      <c r="B1008">
        <v>4.4000000000000002E-6</v>
      </c>
      <c r="D1008">
        <v>70.076263281098662</v>
      </c>
      <c r="F1008">
        <v>5.8200822436420166E-4</v>
      </c>
      <c r="H1008">
        <v>1.7119402135442043E-4</v>
      </c>
      <c r="J1008">
        <v>140246.16429656479</v>
      </c>
      <c r="L1008">
        <v>1.4749999999999905</v>
      </c>
      <c r="N1008">
        <v>-9.0094841896241364E-4</v>
      </c>
      <c r="P1008">
        <v>8.5790640274234553E-2</v>
      </c>
      <c r="R1008">
        <v>9.6895113108215084E-9</v>
      </c>
    </row>
    <row r="1009" spans="1:18" x14ac:dyDescent="0.3">
      <c r="A1009">
        <v>1.4699999999999906</v>
      </c>
      <c r="B1009">
        <v>4.4000000000000002E-6</v>
      </c>
      <c r="D1009">
        <v>70.076263281098662</v>
      </c>
      <c r="F1009">
        <v>5.8200822436420166E-4</v>
      </c>
      <c r="H1009">
        <v>1.7119402135442043E-4</v>
      </c>
      <c r="J1009">
        <v>140246.16429656479</v>
      </c>
      <c r="L1009">
        <v>1.4699999999999906</v>
      </c>
      <c r="N1009">
        <v>-8.9803837784059267E-4</v>
      </c>
      <c r="P1009">
        <v>8.5523053480491135E-2</v>
      </c>
      <c r="R1009">
        <v>5.9784459765773475E-9</v>
      </c>
    </row>
    <row r="1010" spans="1:18" x14ac:dyDescent="0.3">
      <c r="A1010">
        <v>1.4649999999999908</v>
      </c>
      <c r="B1010">
        <v>4.4000000000000002E-6</v>
      </c>
      <c r="D1010">
        <v>70.076263281098662</v>
      </c>
      <c r="F1010">
        <v>5.8200822436420166E-4</v>
      </c>
      <c r="H1010">
        <v>1.7119402135442043E-4</v>
      </c>
      <c r="J1010">
        <v>140246.16429656479</v>
      </c>
      <c r="L1010">
        <v>1.4649999999999908</v>
      </c>
      <c r="N1010">
        <v>-8.9512833671877171E-4</v>
      </c>
      <c r="P1010">
        <v>8.5255393863961262E-2</v>
      </c>
      <c r="R1010">
        <v>3.655732285536611E-9</v>
      </c>
    </row>
    <row r="1011" spans="1:18" x14ac:dyDescent="0.3">
      <c r="A1011">
        <v>1.4599999999999909</v>
      </c>
      <c r="B1011">
        <v>4.4000000000000002E-6</v>
      </c>
      <c r="D1011">
        <v>70.076263281098662</v>
      </c>
      <c r="F1011">
        <v>5.8200822436420166E-4</v>
      </c>
      <c r="H1011">
        <v>1.7119402135442043E-4</v>
      </c>
      <c r="J1011">
        <v>140246.16429656479</v>
      </c>
      <c r="L1011">
        <v>1.4599999999999909</v>
      </c>
      <c r="N1011">
        <v>-8.9221829559695074E-4</v>
      </c>
      <c r="P1011">
        <v>8.4987661156182004E-2</v>
      </c>
      <c r="R1011">
        <v>2.2151157497673447E-9</v>
      </c>
    </row>
    <row r="1012" spans="1:18" x14ac:dyDescent="0.3">
      <c r="A1012">
        <v>1.454999999999991</v>
      </c>
      <c r="B1012">
        <v>4.4000000000000002E-6</v>
      </c>
      <c r="D1012">
        <v>70.076263281098662</v>
      </c>
      <c r="F1012">
        <v>5.8200822436420166E-4</v>
      </c>
      <c r="H1012">
        <v>1.7119402135442043E-4</v>
      </c>
      <c r="J1012">
        <v>140246.16429656479</v>
      </c>
      <c r="L1012">
        <v>1.454999999999991</v>
      </c>
      <c r="N1012">
        <v>-8.8930825447512977E-4</v>
      </c>
      <c r="P1012">
        <v>8.4719855086777721E-2</v>
      </c>
      <c r="R1012">
        <v>1.3298100309940237E-9</v>
      </c>
    </row>
    <row r="1013" spans="1:18" x14ac:dyDescent="0.3">
      <c r="A1013">
        <v>1.4499999999999911</v>
      </c>
      <c r="B1013">
        <v>4.4000000000000002E-6</v>
      </c>
      <c r="D1013">
        <v>70.076263281098662</v>
      </c>
      <c r="F1013">
        <v>5.8200822436420166E-4</v>
      </c>
      <c r="H1013">
        <v>1.7119402135442043E-4</v>
      </c>
      <c r="J1013">
        <v>140246.16429656479</v>
      </c>
      <c r="L1013">
        <v>1.4499999999999911</v>
      </c>
      <c r="N1013">
        <v>-8.8639821335330881E-4</v>
      </c>
      <c r="P1013">
        <v>8.4451975383439973E-2</v>
      </c>
      <c r="R1013">
        <v>7.9083870869293197E-10</v>
      </c>
    </row>
    <row r="1014" spans="1:18" x14ac:dyDescent="0.3">
      <c r="A1014">
        <v>1.4449999999999912</v>
      </c>
      <c r="B1014">
        <v>4.4000000000000002E-6</v>
      </c>
      <c r="D1014">
        <v>70.076263281098662</v>
      </c>
      <c r="F1014">
        <v>5.8200822436420166E-4</v>
      </c>
      <c r="H1014">
        <v>1.7119402135442043E-4</v>
      </c>
      <c r="J1014">
        <v>140246.16429656479</v>
      </c>
      <c r="L1014">
        <v>1.4449999999999912</v>
      </c>
      <c r="N1014">
        <v>-8.8348817223148784E-4</v>
      </c>
      <c r="P1014">
        <v>8.4184021771906953E-2</v>
      </c>
      <c r="R1014">
        <v>4.6582646427063619E-10</v>
      </c>
    </row>
    <row r="1015" spans="1:18" x14ac:dyDescent="0.3">
      <c r="A1015">
        <v>1.4399999999999913</v>
      </c>
      <c r="B1015">
        <v>4.4000000000000002E-6</v>
      </c>
      <c r="D1015">
        <v>70.076263281098662</v>
      </c>
      <c r="F1015">
        <v>5.8200822436420166E-4</v>
      </c>
      <c r="H1015">
        <v>1.7119402135442043E-4</v>
      </c>
      <c r="J1015">
        <v>140246.16429656479</v>
      </c>
      <c r="L1015">
        <v>1.4399999999999913</v>
      </c>
      <c r="N1015">
        <v>-8.8057813110966688E-4</v>
      </c>
      <c r="P1015">
        <v>8.3915993975942585E-2</v>
      </c>
      <c r="R1015">
        <v>2.7172517968582004E-10</v>
      </c>
    </row>
    <row r="1016" spans="1:18" x14ac:dyDescent="0.3">
      <c r="A1016">
        <v>1.4349999999999914</v>
      </c>
      <c r="B1016">
        <v>4.4000000000000002E-6</v>
      </c>
      <c r="D1016">
        <v>70.076263281098662</v>
      </c>
      <c r="F1016">
        <v>5.8200822436420166E-4</v>
      </c>
      <c r="H1016">
        <v>1.7119402135442043E-4</v>
      </c>
      <c r="J1016">
        <v>140246.16429656479</v>
      </c>
      <c r="L1016">
        <v>1.4349999999999914</v>
      </c>
      <c r="N1016">
        <v>-8.7766808998784591E-4</v>
      </c>
      <c r="P1016">
        <v>8.3647891717315515E-2</v>
      </c>
      <c r="R1016">
        <v>1.5694063416253276E-10</v>
      </c>
    </row>
    <row r="1017" spans="1:18" x14ac:dyDescent="0.3">
      <c r="A1017">
        <v>1.4299999999999915</v>
      </c>
      <c r="B1017">
        <v>4.4000000000000002E-6</v>
      </c>
      <c r="D1017">
        <v>70.076263281098662</v>
      </c>
      <c r="F1017">
        <v>5.8200822436420166E-4</v>
      </c>
      <c r="H1017">
        <v>1.7119402135442043E-4</v>
      </c>
      <c r="J1017">
        <v>140246.16429656479</v>
      </c>
      <c r="L1017">
        <v>1.4299999999999915</v>
      </c>
      <c r="N1017">
        <v>-8.7475804886602494E-4</v>
      </c>
      <c r="P1017">
        <v>8.3379714715777611E-2</v>
      </c>
      <c r="R1017">
        <v>8.9736625257853085E-11</v>
      </c>
    </row>
    <row r="1018" spans="1:18" x14ac:dyDescent="0.3">
      <c r="A1018">
        <v>1.4249999999999916</v>
      </c>
      <c r="B1018">
        <v>4.4000000000000002E-6</v>
      </c>
      <c r="D1018">
        <v>70.076263281098662</v>
      </c>
      <c r="F1018">
        <v>5.8200822436420166E-4</v>
      </c>
      <c r="H1018">
        <v>1.7119402135442043E-4</v>
      </c>
      <c r="J1018">
        <v>140246.16429656479</v>
      </c>
      <c r="L1018">
        <v>1.4249999999999916</v>
      </c>
      <c r="N1018">
        <v>-8.7184800774420398E-4</v>
      </c>
      <c r="P1018">
        <v>8.3111462689042279E-2</v>
      </c>
      <c r="R1018">
        <v>5.0787937907777102E-11</v>
      </c>
    </row>
    <row r="1019" spans="1:18" x14ac:dyDescent="0.3">
      <c r="A1019">
        <v>1.4199999999999917</v>
      </c>
      <c r="B1019">
        <v>4.4000000000000002E-6</v>
      </c>
      <c r="D1019">
        <v>70.076263281098662</v>
      </c>
      <c r="F1019">
        <v>5.8200822436420166E-4</v>
      </c>
      <c r="H1019">
        <v>1.7119402135442043E-4</v>
      </c>
      <c r="J1019">
        <v>140246.16429656479</v>
      </c>
      <c r="L1019">
        <v>1.4199999999999917</v>
      </c>
      <c r="N1019">
        <v>-8.6893796662238301E-4</v>
      </c>
      <c r="P1019">
        <v>8.284313535276247E-2</v>
      </c>
      <c r="R1019">
        <v>2.844685819952541E-11</v>
      </c>
    </row>
    <row r="1020" spans="1:18" x14ac:dyDescent="0.3">
      <c r="A1020">
        <v>1.4149999999999918</v>
      </c>
      <c r="B1020">
        <v>4.4000000000000002E-6</v>
      </c>
      <c r="D1020">
        <v>70.076263281098662</v>
      </c>
      <c r="F1020">
        <v>5.8200822436420166E-4</v>
      </c>
      <c r="H1020">
        <v>1.7119402135442043E-4</v>
      </c>
      <c r="J1020">
        <v>140246.16429656479</v>
      </c>
      <c r="L1020">
        <v>1.4149999999999918</v>
      </c>
      <c r="N1020">
        <v>-8.6602792550056205E-4</v>
      </c>
      <c r="P1020">
        <v>8.2574732420508223E-2</v>
      </c>
      <c r="R1020">
        <v>1.5765796191915716E-11</v>
      </c>
    </row>
    <row r="1021" spans="1:18" x14ac:dyDescent="0.3">
      <c r="A1021">
        <v>1.4099999999999919</v>
      </c>
      <c r="B1021">
        <v>4.4000000000000002E-6</v>
      </c>
      <c r="D1021">
        <v>70.076263281098662</v>
      </c>
      <c r="F1021">
        <v>5.8200822436420166E-4</v>
      </c>
      <c r="H1021">
        <v>1.7119402135442043E-4</v>
      </c>
      <c r="J1021">
        <v>140246.16429656479</v>
      </c>
      <c r="L1021">
        <v>1.4099999999999919</v>
      </c>
      <c r="N1021">
        <v>-8.6311788437874108E-4</v>
      </c>
      <c r="P1021">
        <v>8.2306253603744092E-2</v>
      </c>
      <c r="R1021">
        <v>8.6442828412769741E-12</v>
      </c>
    </row>
    <row r="1022" spans="1:18" x14ac:dyDescent="0.3">
      <c r="A1022">
        <v>1.404999999999992</v>
      </c>
      <c r="B1022">
        <v>4.4000000000000002E-6</v>
      </c>
      <c r="D1022">
        <v>70.076263281098662</v>
      </c>
      <c r="F1022">
        <v>5.8200822436420166E-4</v>
      </c>
      <c r="H1022">
        <v>1.7119402135442043E-4</v>
      </c>
      <c r="J1022">
        <v>140246.16429656479</v>
      </c>
      <c r="L1022">
        <v>1.404999999999992</v>
      </c>
      <c r="N1022">
        <v>-8.6020784325692011E-4</v>
      </c>
      <c r="P1022">
        <v>8.2037698611806112E-2</v>
      </c>
      <c r="R1022">
        <v>4.6880867934005893E-12</v>
      </c>
    </row>
    <row r="1023" spans="1:18" x14ac:dyDescent="0.3">
      <c r="A1023">
        <v>1.3999999999999921</v>
      </c>
      <c r="B1023">
        <v>4.4000000000000002E-6</v>
      </c>
      <c r="D1023">
        <v>70.076263281098662</v>
      </c>
      <c r="F1023">
        <v>5.8200822436420166E-4</v>
      </c>
      <c r="H1023">
        <v>1.7119402135442043E-4</v>
      </c>
      <c r="J1023">
        <v>140246.16429656479</v>
      </c>
      <c r="L1023">
        <v>1.3999999999999921</v>
      </c>
      <c r="N1023">
        <v>-8.5729780213509915E-4</v>
      </c>
      <c r="P1023">
        <v>8.1769067151878455E-2</v>
      </c>
      <c r="R1023">
        <v>2.514413038284709E-12</v>
      </c>
    </row>
    <row r="1024" spans="1:18" x14ac:dyDescent="0.3">
      <c r="A1024">
        <v>1.3949999999999922</v>
      </c>
      <c r="B1024">
        <v>4.4000000000000002E-6</v>
      </c>
      <c r="D1024">
        <v>70.076263281098662</v>
      </c>
      <c r="F1024">
        <v>5.8200822436420166E-4</v>
      </c>
      <c r="H1024">
        <v>1.7119402135442043E-4</v>
      </c>
      <c r="J1024">
        <v>140246.16429656479</v>
      </c>
      <c r="L1024">
        <v>1.3949999999999922</v>
      </c>
      <c r="N1024">
        <v>-8.5438776101327818E-4</v>
      </c>
      <c r="P1024">
        <v>8.1500358928969771E-2</v>
      </c>
      <c r="R1024">
        <v>1.3334326538166503E-12</v>
      </c>
    </row>
    <row r="1025" spans="1:18" x14ac:dyDescent="0.3">
      <c r="A1025">
        <v>1.3899999999999924</v>
      </c>
      <c r="B1025">
        <v>4.4000000000000002E-6</v>
      </c>
      <c r="D1025">
        <v>70.076263281098662</v>
      </c>
      <c r="F1025">
        <v>5.8200822436420166E-4</v>
      </c>
      <c r="H1025">
        <v>1.7119402135442043E-4</v>
      </c>
      <c r="J1025">
        <v>140246.16429656479</v>
      </c>
      <c r="L1025">
        <v>1.3899999999999924</v>
      </c>
      <c r="N1025">
        <v>-8.5147771989145722E-4</v>
      </c>
      <c r="P1025">
        <v>8.1231573645889163E-2</v>
      </c>
      <c r="R1025">
        <v>6.9906361166035E-13</v>
      </c>
    </row>
    <row r="1026" spans="1:18" x14ac:dyDescent="0.3">
      <c r="A1026">
        <v>1.3849999999999925</v>
      </c>
      <c r="B1026">
        <v>4.4000000000000002E-6</v>
      </c>
      <c r="D1026">
        <v>70.076263281098662</v>
      </c>
      <c r="F1026">
        <v>5.8200822436420166E-4</v>
      </c>
      <c r="H1026">
        <v>1.7119402135442043E-4</v>
      </c>
      <c r="J1026">
        <v>140246.16429656479</v>
      </c>
      <c r="L1026">
        <v>1.3849999999999925</v>
      </c>
      <c r="N1026">
        <v>-8.4856767876963625E-4</v>
      </c>
      <c r="P1026">
        <v>8.0962711003221818E-2</v>
      </c>
      <c r="R1026">
        <v>3.6223427158535562E-13</v>
      </c>
    </row>
    <row r="1027" spans="1:18" x14ac:dyDescent="0.3">
      <c r="A1027">
        <v>1.3799999999999926</v>
      </c>
      <c r="B1027">
        <v>4.4000000000000002E-6</v>
      </c>
      <c r="D1027">
        <v>70.076263281098662</v>
      </c>
      <c r="F1027">
        <v>5.8200822436420166E-4</v>
      </c>
      <c r="H1027">
        <v>1.7119402135442043E-4</v>
      </c>
      <c r="J1027">
        <v>140246.16429656479</v>
      </c>
      <c r="L1027">
        <v>1.3799999999999926</v>
      </c>
      <c r="N1027">
        <v>-8.4565763764781528E-4</v>
      </c>
      <c r="P1027">
        <v>8.0693770699304251E-2</v>
      </c>
      <c r="R1027">
        <v>1.8548299147741618E-13</v>
      </c>
    </row>
    <row r="1028" spans="1:18" x14ac:dyDescent="0.3">
      <c r="A1028">
        <v>1.3749999999999927</v>
      </c>
      <c r="B1028">
        <v>4.4000000000000002E-6</v>
      </c>
      <c r="D1028">
        <v>70.076263281098662</v>
      </c>
      <c r="F1028">
        <v>5.8200822436420166E-4</v>
      </c>
      <c r="H1028">
        <v>1.7119402135442043E-4</v>
      </c>
      <c r="J1028">
        <v>140246.16429656479</v>
      </c>
      <c r="L1028">
        <v>1.3749999999999927</v>
      </c>
      <c r="N1028">
        <v>-8.4274759652599432E-4</v>
      </c>
      <c r="P1028">
        <v>8.0424752430199226E-2</v>
      </c>
      <c r="R1028">
        <v>9.3836802837741493E-14</v>
      </c>
    </row>
    <row r="1029" spans="1:18" x14ac:dyDescent="0.3">
      <c r="A1029">
        <v>1.3699999999999928</v>
      </c>
      <c r="B1029">
        <v>4.4000000000000002E-6</v>
      </c>
      <c r="D1029">
        <v>70.076263281098662</v>
      </c>
      <c r="F1029">
        <v>5.8200822436420166E-4</v>
      </c>
      <c r="H1029">
        <v>1.7119402135442043E-4</v>
      </c>
      <c r="J1029">
        <v>140246.16429656479</v>
      </c>
      <c r="L1029">
        <v>1.3699999999999928</v>
      </c>
      <c r="N1029">
        <v>-8.3983755540417335E-4</v>
      </c>
      <c r="P1029">
        <v>8.0155655889670316E-2</v>
      </c>
      <c r="R1029">
        <v>4.689300181415287E-14</v>
      </c>
    </row>
    <row r="1030" spans="1:18" x14ac:dyDescent="0.3">
      <c r="A1030">
        <v>1.3649999999999929</v>
      </c>
      <c r="B1030">
        <v>4.4000000000000002E-6</v>
      </c>
      <c r="D1030">
        <v>70.076263281098662</v>
      </c>
      <c r="F1030">
        <v>5.8200822436420166E-4</v>
      </c>
      <c r="H1030">
        <v>1.7119402135442043E-4</v>
      </c>
      <c r="J1030">
        <v>140246.16429656479</v>
      </c>
      <c r="L1030">
        <v>1.3649999999999929</v>
      </c>
      <c r="N1030">
        <v>-8.3692751428235239E-4</v>
      </c>
      <c r="P1030">
        <v>7.9886480769156026E-2</v>
      </c>
      <c r="R1030">
        <v>2.314291381016238E-14</v>
      </c>
    </row>
    <row r="1031" spans="1:18" x14ac:dyDescent="0.3">
      <c r="A1031">
        <v>1.359999999999993</v>
      </c>
      <c r="B1031">
        <v>4.4000000000000002E-6</v>
      </c>
      <c r="D1031">
        <v>70.076263281098662</v>
      </c>
      <c r="F1031">
        <v>5.8200822436420166E-4</v>
      </c>
      <c r="H1031">
        <v>1.7119402135442043E-4</v>
      </c>
      <c r="J1031">
        <v>140246.16429656479</v>
      </c>
      <c r="L1031">
        <v>1.359999999999993</v>
      </c>
      <c r="N1031">
        <v>-8.3401747316053142E-4</v>
      </c>
      <c r="P1031">
        <v>7.961722675774352E-2</v>
      </c>
      <c r="R1031">
        <v>1.1277449897378993E-14</v>
      </c>
    </row>
    <row r="1032" spans="1:18" x14ac:dyDescent="0.3">
      <c r="A1032">
        <v>1.3549999999999931</v>
      </c>
      <c r="B1032">
        <v>4.4000000000000002E-6</v>
      </c>
      <c r="D1032">
        <v>70.076263281098662</v>
      </c>
      <c r="F1032">
        <v>5.8200822436420166E-4</v>
      </c>
      <c r="H1032">
        <v>1.7119402135442043E-4</v>
      </c>
      <c r="J1032">
        <v>140246.16429656479</v>
      </c>
      <c r="L1032">
        <v>1.3549999999999931</v>
      </c>
      <c r="N1032">
        <v>-8.3110743203871045E-4</v>
      </c>
      <c r="P1032">
        <v>7.9347893542142028E-2</v>
      </c>
      <c r="R1032">
        <v>5.4249100060652281E-15</v>
      </c>
    </row>
    <row r="1033" spans="1:18" x14ac:dyDescent="0.3">
      <c r="A1033">
        <v>1.3499999999999932</v>
      </c>
      <c r="B1033">
        <v>4.4000000000000002E-6</v>
      </c>
      <c r="D1033">
        <v>70.076263281098662</v>
      </c>
      <c r="F1033">
        <v>5.8200822436420166E-4</v>
      </c>
      <c r="H1033">
        <v>1.7119402135442043E-4</v>
      </c>
      <c r="J1033">
        <v>140246.16429656479</v>
      </c>
      <c r="L1033">
        <v>1.3499999999999932</v>
      </c>
      <c r="N1033">
        <v>-8.2819739091688949E-4</v>
      </c>
      <c r="P1033">
        <v>7.9078480806655874E-2</v>
      </c>
      <c r="R1033">
        <v>2.5755322609013231E-15</v>
      </c>
    </row>
    <row r="1034" spans="1:18" x14ac:dyDescent="0.3">
      <c r="A1034">
        <v>1.3449999999999933</v>
      </c>
      <c r="B1034">
        <v>4.4000000000000002E-6</v>
      </c>
      <c r="D1034">
        <v>70.076263281098662</v>
      </c>
      <c r="F1034">
        <v>5.8200822436420166E-4</v>
      </c>
      <c r="H1034">
        <v>1.7119402135442043E-4</v>
      </c>
      <c r="J1034">
        <v>140246.16429656479</v>
      </c>
      <c r="L1034">
        <v>1.3449999999999933</v>
      </c>
      <c r="N1034">
        <v>-8.2528734979506852E-4</v>
      </c>
      <c r="P1034">
        <v>7.8808988233156921E-2</v>
      </c>
      <c r="R1034">
        <v>1.206525363064243E-15</v>
      </c>
    </row>
    <row r="1035" spans="1:18" x14ac:dyDescent="0.3">
      <c r="A1035">
        <v>1.3399999999999934</v>
      </c>
      <c r="B1035">
        <v>4.4000000000000002E-6</v>
      </c>
      <c r="D1035">
        <v>70.076263281098662</v>
      </c>
      <c r="F1035">
        <v>5.8200822436420166E-4</v>
      </c>
      <c r="H1035">
        <v>1.7119402135442043E-4</v>
      </c>
      <c r="J1035">
        <v>140246.16429656479</v>
      </c>
      <c r="L1035">
        <v>1.3399999999999934</v>
      </c>
      <c r="N1035">
        <v>-8.2237730867324756E-4</v>
      </c>
      <c r="P1035">
        <v>7.8539415501056795E-2</v>
      </c>
      <c r="R1035">
        <v>5.5757228818434185E-16</v>
      </c>
    </row>
    <row r="1036" spans="1:18" x14ac:dyDescent="0.3">
      <c r="A1036">
        <v>1.3349999999999935</v>
      </c>
      <c r="B1036">
        <v>4.4000000000000002E-6</v>
      </c>
      <c r="D1036">
        <v>70.076263281098662</v>
      </c>
      <c r="F1036">
        <v>5.8200822436420166E-4</v>
      </c>
      <c r="H1036">
        <v>1.7119402135442043E-4</v>
      </c>
      <c r="J1036">
        <v>140246.16429656479</v>
      </c>
      <c r="L1036">
        <v>1.3349999999999935</v>
      </c>
      <c r="N1036">
        <v>-8.1946726755142659E-4</v>
      </c>
      <c r="P1036">
        <v>7.8269762287278569E-2</v>
      </c>
      <c r="R1036">
        <v>2.5413206075822182E-16</v>
      </c>
    </row>
    <row r="1037" spans="1:18" x14ac:dyDescent="0.3">
      <c r="A1037">
        <v>1.3299999999999936</v>
      </c>
      <c r="B1037">
        <v>4.4000000000000002E-6</v>
      </c>
      <c r="D1037">
        <v>70.076263281098662</v>
      </c>
      <c r="F1037">
        <v>5.8200822436420166E-4</v>
      </c>
      <c r="H1037">
        <v>1.7119402135442043E-4</v>
      </c>
      <c r="J1037">
        <v>140246.16429656479</v>
      </c>
      <c r="L1037">
        <v>1.3299999999999936</v>
      </c>
      <c r="N1037">
        <v>-8.1655722642960562E-4</v>
      </c>
      <c r="P1037">
        <v>7.8000028266228094E-2</v>
      </c>
      <c r="R1037">
        <v>1.1421090230943489E-16</v>
      </c>
    </row>
    <row r="1038" spans="1:18" x14ac:dyDescent="0.3">
      <c r="A1038">
        <v>1.3249999999999937</v>
      </c>
      <c r="B1038">
        <v>4.4000000000000002E-6</v>
      </c>
      <c r="D1038">
        <v>70.076263281098662</v>
      </c>
      <c r="F1038">
        <v>5.8200822436420166E-4</v>
      </c>
      <c r="H1038">
        <v>1.7119402135442043E-4</v>
      </c>
      <c r="J1038">
        <v>140246.16429656479</v>
      </c>
      <c r="L1038">
        <v>1.3249999999999937</v>
      </c>
      <c r="N1038">
        <v>-8.1364718530778466E-4</v>
      </c>
      <c r="P1038">
        <v>7.7730213109764801E-2</v>
      </c>
      <c r="R1038">
        <v>5.0598740564938895E-17</v>
      </c>
    </row>
    <row r="1039" spans="1:18" x14ac:dyDescent="0.3">
      <c r="A1039">
        <v>1.3199999999999938</v>
      </c>
      <c r="B1039">
        <v>4.4000000000000002E-6</v>
      </c>
      <c r="D1039">
        <v>70.076263281098662</v>
      </c>
      <c r="F1039">
        <v>5.8200822436420166E-4</v>
      </c>
      <c r="H1039">
        <v>1.7119402135442043E-4</v>
      </c>
      <c r="J1039">
        <v>140246.16429656479</v>
      </c>
      <c r="L1039">
        <v>1.3199999999999938</v>
      </c>
      <c r="N1039">
        <v>-8.1073714418596369E-4</v>
      </c>
      <c r="P1039">
        <v>7.7460316487172137E-2</v>
      </c>
      <c r="R1039">
        <v>2.209265924357191E-17</v>
      </c>
    </row>
    <row r="1040" spans="1:18" x14ac:dyDescent="0.3">
      <c r="A1040">
        <v>1.314999999999994</v>
      </c>
      <c r="B1040">
        <v>4.4000000000000002E-6</v>
      </c>
      <c r="D1040">
        <v>70.076263281098662</v>
      </c>
      <c r="F1040">
        <v>5.8200822436420166E-4</v>
      </c>
      <c r="H1040">
        <v>1.7119402135442043E-4</v>
      </c>
      <c r="J1040">
        <v>140246.16429656479</v>
      </c>
      <c r="L1040">
        <v>1.314999999999994</v>
      </c>
      <c r="N1040">
        <v>-8.0782710306414273E-4</v>
      </c>
      <c r="P1040">
        <v>7.719033806512747E-2</v>
      </c>
      <c r="R1040">
        <v>9.5043487917986256E-18</v>
      </c>
    </row>
    <row r="1041" spans="1:18" x14ac:dyDescent="0.3">
      <c r="A1041">
        <v>1.3099999999999941</v>
      </c>
      <c r="B1041">
        <v>4.4000000000000002E-6</v>
      </c>
      <c r="D1041">
        <v>70.076263281098662</v>
      </c>
      <c r="F1041">
        <v>5.8200822436420166E-4</v>
      </c>
      <c r="H1041">
        <v>1.7119402135442043E-4</v>
      </c>
      <c r="J1041">
        <v>140246.16429656479</v>
      </c>
      <c r="L1041">
        <v>1.3099999999999941</v>
      </c>
      <c r="N1041">
        <v>-8.0491706194232176E-4</v>
      </c>
      <c r="P1041">
        <v>7.6920277507671608E-2</v>
      </c>
      <c r="R1041">
        <v>4.0276391414219952E-18</v>
      </c>
    </row>
    <row r="1042" spans="1:18" x14ac:dyDescent="0.3">
      <c r="A1042">
        <v>1.3049999999999942</v>
      </c>
      <c r="B1042">
        <v>4.4000000000000002E-6</v>
      </c>
      <c r="D1042">
        <v>70.076263281098662</v>
      </c>
      <c r="F1042">
        <v>5.8200822436420166E-4</v>
      </c>
      <c r="H1042">
        <v>1.7119402135442043E-4</v>
      </c>
      <c r="J1042">
        <v>140246.16429656479</v>
      </c>
      <c r="L1042">
        <v>1.3049999999999942</v>
      </c>
      <c r="N1042">
        <v>-8.0200702082050079E-4</v>
      </c>
      <c r="P1042">
        <v>7.6650134476177773E-2</v>
      </c>
      <c r="R1042">
        <v>1.6808076719984772E-18</v>
      </c>
    </row>
    <row r="1043" spans="1:18" x14ac:dyDescent="0.3">
      <c r="A1043">
        <v>1.2999999999999943</v>
      </c>
      <c r="B1043">
        <v>4.4000000000000002E-6</v>
      </c>
      <c r="D1043">
        <v>70.076263281098662</v>
      </c>
      <c r="F1043">
        <v>5.8200822436420166E-4</v>
      </c>
      <c r="H1043">
        <v>1.7119402135442043E-4</v>
      </c>
      <c r="J1043">
        <v>140246.16429656479</v>
      </c>
      <c r="L1043">
        <v>1.2999999999999943</v>
      </c>
      <c r="N1043">
        <v>-7.9909697969867983E-4</v>
      </c>
      <c r="P1043">
        <v>7.6379908629320065E-2</v>
      </c>
      <c r="R1043">
        <v>6.9057033910444521E-19</v>
      </c>
    </row>
    <row r="1044" spans="1:18" x14ac:dyDescent="0.3">
      <c r="A1044">
        <v>1.2949999999999944</v>
      </c>
      <c r="B1044">
        <v>4.4000000000000002E-6</v>
      </c>
      <c r="D1044">
        <v>70.076263281098662</v>
      </c>
      <c r="F1044">
        <v>5.8200822436420166E-4</v>
      </c>
      <c r="H1044">
        <v>1.7119402135442043E-4</v>
      </c>
      <c r="J1044">
        <v>140246.16429656479</v>
      </c>
      <c r="L1044">
        <v>1.2949999999999944</v>
      </c>
      <c r="N1044">
        <v>-7.9618693857685886E-4</v>
      </c>
      <c r="P1044">
        <v>7.6109599623041618E-2</v>
      </c>
      <c r="R1044">
        <v>2.7925504307970996E-19</v>
      </c>
    </row>
    <row r="1045" spans="1:18" x14ac:dyDescent="0.3">
      <c r="A1045">
        <v>1.2899999999999945</v>
      </c>
      <c r="B1045">
        <v>4.4000000000000002E-6</v>
      </c>
      <c r="D1045">
        <v>70.076263281098662</v>
      </c>
      <c r="F1045">
        <v>5.8200822436420166E-4</v>
      </c>
      <c r="H1045">
        <v>1.7119402135442043E-4</v>
      </c>
      <c r="J1045">
        <v>140246.16429656479</v>
      </c>
      <c r="L1045">
        <v>1.2899999999999945</v>
      </c>
      <c r="N1045">
        <v>-7.932768974550379E-4</v>
      </c>
      <c r="P1045">
        <v>7.5839207110521986E-2</v>
      </c>
      <c r="R1045">
        <v>1.1111576409858134E-19</v>
      </c>
    </row>
    <row r="1046" spans="1:18" x14ac:dyDescent="0.3">
      <c r="A1046">
        <v>1.2849999999999946</v>
      </c>
      <c r="B1046">
        <v>4.4000000000000002E-6</v>
      </c>
      <c r="D1046">
        <v>70.076263281098662</v>
      </c>
      <c r="F1046">
        <v>5.8200822436420166E-4</v>
      </c>
      <c r="H1046">
        <v>1.7119402135442043E-4</v>
      </c>
      <c r="J1046">
        <v>140246.16429656479</v>
      </c>
      <c r="L1046">
        <v>1.2849999999999946</v>
      </c>
      <c r="N1046">
        <v>-7.9036685633321693E-4</v>
      </c>
      <c r="P1046">
        <v>7.5568730742144222E-2</v>
      </c>
      <c r="R1046">
        <v>4.3491835012424872E-20</v>
      </c>
    </row>
    <row r="1047" spans="1:18" x14ac:dyDescent="0.3">
      <c r="A1047">
        <v>1.2799999999999947</v>
      </c>
      <c r="B1047">
        <v>4.4000000000000002E-6</v>
      </c>
      <c r="D1047">
        <v>70.076263281098662</v>
      </c>
      <c r="F1047">
        <v>5.8200822436420166E-4</v>
      </c>
      <c r="H1047">
        <v>1.7119402135442043E-4</v>
      </c>
      <c r="J1047">
        <v>140246.16429656479</v>
      </c>
      <c r="L1047">
        <v>1.2799999999999947</v>
      </c>
      <c r="N1047">
        <v>-7.8745681521139596E-4</v>
      </c>
      <c r="P1047">
        <v>7.5298170165461309E-2</v>
      </c>
      <c r="R1047">
        <v>1.6740579721927296E-20</v>
      </c>
    </row>
    <row r="1048" spans="1:18" x14ac:dyDescent="0.3">
      <c r="A1048">
        <v>1.2749999999999948</v>
      </c>
      <c r="B1048">
        <v>4.4000000000000002E-6</v>
      </c>
      <c r="D1048">
        <v>70.076263281098662</v>
      </c>
      <c r="F1048">
        <v>5.8200822436420166E-4</v>
      </c>
      <c r="H1048">
        <v>1.7119402135442043E-4</v>
      </c>
      <c r="J1048">
        <v>140246.16429656479</v>
      </c>
      <c r="L1048">
        <v>1.2749999999999948</v>
      </c>
      <c r="N1048">
        <v>-7.84546774089575E-4</v>
      </c>
      <c r="P1048">
        <v>7.5027525025162162E-2</v>
      </c>
      <c r="R1048">
        <v>6.3348254716756375E-21</v>
      </c>
    </row>
    <row r="1049" spans="1:18" x14ac:dyDescent="0.3">
      <c r="A1049">
        <v>1.2699999999999949</v>
      </c>
      <c r="B1049">
        <v>4.4000000000000002E-6</v>
      </c>
      <c r="D1049">
        <v>70.076263281098662</v>
      </c>
      <c r="F1049">
        <v>5.8200822436420166E-4</v>
      </c>
      <c r="H1049">
        <v>1.7119402135442043E-4</v>
      </c>
      <c r="J1049">
        <v>140246.16429656479</v>
      </c>
      <c r="L1049">
        <v>1.2699999999999949</v>
      </c>
      <c r="N1049">
        <v>-7.8163673296775403E-4</v>
      </c>
      <c r="P1049">
        <v>7.4756794963036943E-2</v>
      </c>
      <c r="R1049">
        <v>2.3559617299852146E-21</v>
      </c>
    </row>
    <row r="1050" spans="1:18" x14ac:dyDescent="0.3">
      <c r="A1050">
        <v>1.264999999999995</v>
      </c>
      <c r="B1050">
        <v>4.4000000000000002E-6</v>
      </c>
      <c r="D1050">
        <v>70.076263281098662</v>
      </c>
      <c r="F1050">
        <v>5.8200822436420166E-4</v>
      </c>
      <c r="H1050">
        <v>1.7119402135442043E-4</v>
      </c>
      <c r="J1050">
        <v>140246.16429656479</v>
      </c>
      <c r="L1050">
        <v>1.264999999999995</v>
      </c>
      <c r="N1050">
        <v>-7.7872669184593307E-4</v>
      </c>
      <c r="P1050">
        <v>7.4485979617942011E-2</v>
      </c>
      <c r="R1050">
        <v>8.6086787424260135E-22</v>
      </c>
    </row>
    <row r="1051" spans="1:18" x14ac:dyDescent="0.3">
      <c r="A1051">
        <v>1.2599999999999951</v>
      </c>
      <c r="B1051">
        <v>4.4000000000000002E-6</v>
      </c>
      <c r="D1051">
        <v>70.076263281098662</v>
      </c>
      <c r="F1051">
        <v>5.8200822436420166E-4</v>
      </c>
      <c r="H1051">
        <v>1.7119402135442043E-4</v>
      </c>
      <c r="J1051">
        <v>140246.16429656479</v>
      </c>
      <c r="L1051">
        <v>1.2599999999999951</v>
      </c>
      <c r="N1051">
        <v>-7.758166507241121E-4</v>
      </c>
      <c r="P1051">
        <v>7.4215078625764111E-2</v>
      </c>
      <c r="R1051">
        <v>3.089597684704884E-22</v>
      </c>
    </row>
    <row r="1052" spans="1:18" x14ac:dyDescent="0.3">
      <c r="A1052">
        <v>1.2549999999999952</v>
      </c>
      <c r="B1052">
        <v>4.4000000000000002E-6</v>
      </c>
      <c r="D1052">
        <v>70.076263281098662</v>
      </c>
      <c r="F1052">
        <v>5.8200822436420166E-4</v>
      </c>
      <c r="H1052">
        <v>1.7119402135442043E-4</v>
      </c>
      <c r="J1052">
        <v>140246.16429656479</v>
      </c>
      <c r="L1052">
        <v>1.2549999999999952</v>
      </c>
      <c r="N1052">
        <v>-7.7290660960229113E-4</v>
      </c>
      <c r="P1052">
        <v>7.3944091619384145E-2</v>
      </c>
      <c r="R1052">
        <v>1.0887398297931318E-22</v>
      </c>
    </row>
    <row r="1053" spans="1:18" x14ac:dyDescent="0.3">
      <c r="A1053">
        <v>1.2499999999999953</v>
      </c>
      <c r="B1053">
        <v>4.4000000000000002E-6</v>
      </c>
      <c r="D1053">
        <v>70.076263281098662</v>
      </c>
      <c r="F1053">
        <v>5.8200822436420166E-4</v>
      </c>
      <c r="H1053">
        <v>1.7119402135442043E-4</v>
      </c>
      <c r="J1053">
        <v>140246.16429656479</v>
      </c>
      <c r="L1053">
        <v>1.2499999999999953</v>
      </c>
      <c r="N1053">
        <v>-7.6999656848047017E-4</v>
      </c>
      <c r="P1053">
        <v>7.3673018228640197E-2</v>
      </c>
      <c r="R1053">
        <v>3.765821089166257E-23</v>
      </c>
    </row>
    <row r="1054" spans="1:18" x14ac:dyDescent="0.3">
      <c r="A1054">
        <v>1.2449999999999954</v>
      </c>
      <c r="B1054">
        <v>4.4000000000000002E-6</v>
      </c>
      <c r="D1054">
        <v>70.076263281098662</v>
      </c>
      <c r="F1054">
        <v>5.8200822436420166E-4</v>
      </c>
      <c r="H1054">
        <v>1.7119402135442043E-4</v>
      </c>
      <c r="J1054">
        <v>140246.16429656479</v>
      </c>
      <c r="L1054">
        <v>1.2449999999999954</v>
      </c>
      <c r="N1054">
        <v>-7.670865273586492E-4</v>
      </c>
      <c r="P1054">
        <v>7.340185808029015E-2</v>
      </c>
      <c r="R1054">
        <v>1.2780924418942932E-23</v>
      </c>
    </row>
    <row r="1055" spans="1:18" x14ac:dyDescent="0.3">
      <c r="A1055">
        <v>1.2399999999999956</v>
      </c>
      <c r="B1055">
        <v>4.4000000000000002E-6</v>
      </c>
      <c r="D1055">
        <v>70.076263281098662</v>
      </c>
      <c r="F1055">
        <v>5.8200822436420166E-4</v>
      </c>
      <c r="H1055">
        <v>1.7119402135442043E-4</v>
      </c>
      <c r="J1055">
        <v>140246.16429656479</v>
      </c>
      <c r="L1055">
        <v>1.2399999999999956</v>
      </c>
      <c r="N1055">
        <v>-7.6417648623682824E-4</v>
      </c>
      <c r="P1055">
        <v>7.3130610797973436E-2</v>
      </c>
      <c r="R1055">
        <v>4.254831673630874E-24</v>
      </c>
    </row>
    <row r="1056" spans="1:18" x14ac:dyDescent="0.3">
      <c r="A1056">
        <v>1.2349999999999957</v>
      </c>
      <c r="B1056">
        <v>4.4000000000000002E-6</v>
      </c>
      <c r="D1056">
        <v>70.076263281098662</v>
      </c>
      <c r="F1056">
        <v>5.8200822436420166E-4</v>
      </c>
      <c r="H1056">
        <v>1.7119402135442043E-4</v>
      </c>
      <c r="J1056">
        <v>140246.16429656479</v>
      </c>
      <c r="L1056">
        <v>1.2349999999999957</v>
      </c>
      <c r="N1056">
        <v>-7.6126644511500727E-4</v>
      </c>
      <c r="P1056">
        <v>7.2859276002172443E-2</v>
      </c>
      <c r="R1056">
        <v>1.3888884980396124E-24</v>
      </c>
    </row>
    <row r="1057" spans="1:18" x14ac:dyDescent="0.3">
      <c r="A1057">
        <v>1.2299999999999958</v>
      </c>
      <c r="B1057">
        <v>4.4000000000000002E-6</v>
      </c>
      <c r="D1057">
        <v>70.076263281098662</v>
      </c>
      <c r="F1057">
        <v>5.8200822436420166E-4</v>
      </c>
      <c r="H1057">
        <v>1.7119402135442043E-4</v>
      </c>
      <c r="J1057">
        <v>140246.16429656479</v>
      </c>
      <c r="L1057">
        <v>1.2299999999999958</v>
      </c>
      <c r="N1057">
        <v>-7.583564039931863E-4</v>
      </c>
      <c r="P1057">
        <v>7.2587853310173048E-2</v>
      </c>
      <c r="R1057">
        <v>4.4438700736840821E-25</v>
      </c>
    </row>
    <row r="1058" spans="1:18" x14ac:dyDescent="0.3">
      <c r="A1058">
        <v>1.2249999999999959</v>
      </c>
      <c r="B1058">
        <v>4.4000000000000002E-6</v>
      </c>
      <c r="D1058">
        <v>70.076263281098662</v>
      </c>
      <c r="F1058">
        <v>5.8200822436420166E-4</v>
      </c>
      <c r="H1058">
        <v>1.7119402135442043E-4</v>
      </c>
      <c r="J1058">
        <v>140246.16429656479</v>
      </c>
      <c r="L1058">
        <v>1.2249999999999959</v>
      </c>
      <c r="N1058">
        <v>-7.5544636287136534E-4</v>
      </c>
      <c r="P1058">
        <v>7.231634233602463E-2</v>
      </c>
      <c r="R1058">
        <v>1.3931730169593024E-25</v>
      </c>
    </row>
    <row r="1059" spans="1:18" x14ac:dyDescent="0.3">
      <c r="A1059">
        <v>1.219999999999996</v>
      </c>
      <c r="B1059">
        <v>4.4000000000000002E-6</v>
      </c>
      <c r="D1059">
        <v>70.076263281098662</v>
      </c>
      <c r="F1059">
        <v>5.8200822436420166E-4</v>
      </c>
      <c r="H1059">
        <v>1.7119402135442043E-4</v>
      </c>
      <c r="J1059">
        <v>140246.16429656479</v>
      </c>
      <c r="L1059">
        <v>1.219999999999996</v>
      </c>
      <c r="N1059">
        <v>-7.5253632174954437E-4</v>
      </c>
      <c r="P1059">
        <v>7.2044742690499375E-2</v>
      </c>
      <c r="R1059">
        <v>4.2779511514633209E-26</v>
      </c>
    </row>
    <row r="1060" spans="1:18" x14ac:dyDescent="0.3">
      <c r="A1060">
        <v>1.2149999999999961</v>
      </c>
      <c r="B1060">
        <v>4.4000000000000002E-6</v>
      </c>
      <c r="D1060">
        <v>70.076263281098662</v>
      </c>
      <c r="F1060">
        <v>5.8200822436420166E-4</v>
      </c>
      <c r="H1060">
        <v>1.7119402135442043E-4</v>
      </c>
      <c r="J1060">
        <v>140246.16429656479</v>
      </c>
      <c r="L1060">
        <v>1.2149999999999961</v>
      </c>
      <c r="N1060">
        <v>-7.4962628062772341E-4</v>
      </c>
      <c r="P1060">
        <v>7.1773053981050869E-2</v>
      </c>
      <c r="R1060">
        <v>1.2861377350607789E-26</v>
      </c>
    </row>
    <row r="1061" spans="1:18" x14ac:dyDescent="0.3">
      <c r="A1061">
        <v>1.2099999999999962</v>
      </c>
      <c r="B1061">
        <v>4.4000000000000002E-6</v>
      </c>
      <c r="D1061">
        <v>70.076263281098662</v>
      </c>
      <c r="F1061">
        <v>5.8200822436420166E-4</v>
      </c>
      <c r="H1061">
        <v>1.7119402135442043E-4</v>
      </c>
      <c r="J1061">
        <v>140246.16429656479</v>
      </c>
      <c r="L1061">
        <v>1.2099999999999962</v>
      </c>
      <c r="N1061">
        <v>-7.4671623950590244E-4</v>
      </c>
      <c r="P1061">
        <v>7.1501275811772042E-2</v>
      </c>
      <c r="R1061">
        <v>3.7843409957858692E-27</v>
      </c>
    </row>
    <row r="1062" spans="1:18" x14ac:dyDescent="0.3">
      <c r="A1062">
        <v>1.2049999999999963</v>
      </c>
      <c r="B1062">
        <v>4.4000000000000002E-6</v>
      </c>
      <c r="D1062">
        <v>70.076263281098662</v>
      </c>
      <c r="F1062">
        <v>5.8200822436420166E-4</v>
      </c>
      <c r="H1062">
        <v>1.7119402135442043E-4</v>
      </c>
      <c r="J1062">
        <v>140246.16429656479</v>
      </c>
      <c r="L1062">
        <v>1.2049999999999963</v>
      </c>
      <c r="N1062">
        <v>-7.4380619838408147E-4</v>
      </c>
      <c r="P1062">
        <v>7.1229407783352419E-2</v>
      </c>
      <c r="R1062">
        <v>1.0893582019582525E-27</v>
      </c>
    </row>
    <row r="1063" spans="1:18" x14ac:dyDescent="0.3">
      <c r="A1063">
        <v>1.1999999999999964</v>
      </c>
      <c r="B1063">
        <v>4.4000000000000002E-6</v>
      </c>
      <c r="D1063">
        <v>70.076263281098662</v>
      </c>
      <c r="F1063">
        <v>5.8200822436420166E-4</v>
      </c>
      <c r="H1063">
        <v>1.7119402135442043E-4</v>
      </c>
      <c r="J1063">
        <v>140246.16429656479</v>
      </c>
      <c r="L1063">
        <v>1.1999999999999964</v>
      </c>
      <c r="N1063">
        <v>-7.4089615726226051E-4</v>
      </c>
      <c r="P1063">
        <v>7.0957449493034591E-2</v>
      </c>
      <c r="R1063">
        <v>3.0665607478663593E-28</v>
      </c>
    </row>
    <row r="1064" spans="1:18" x14ac:dyDescent="0.3">
      <c r="A1064">
        <v>1.1949999999999965</v>
      </c>
      <c r="B1064">
        <v>4.4000000000000002E-6</v>
      </c>
      <c r="D1064">
        <v>70.076263281098662</v>
      </c>
      <c r="F1064">
        <v>5.8200822436420166E-4</v>
      </c>
      <c r="H1064">
        <v>1.7119402135442043E-4</v>
      </c>
      <c r="J1064">
        <v>140246.16429656479</v>
      </c>
      <c r="L1064">
        <v>1.1949999999999965</v>
      </c>
      <c r="N1064">
        <v>-7.3798611614043954E-4</v>
      </c>
      <c r="P1064">
        <v>7.0685400534569967E-2</v>
      </c>
      <c r="R1064">
        <v>8.4382372399838258E-29</v>
      </c>
    </row>
    <row r="1065" spans="1:18" x14ac:dyDescent="0.3">
      <c r="A1065">
        <v>1.1899999999999966</v>
      </c>
      <c r="B1065">
        <v>4.4000000000000002E-6</v>
      </c>
      <c r="D1065">
        <v>70.076263281098662</v>
      </c>
      <c r="F1065">
        <v>5.8200822436420166E-4</v>
      </c>
      <c r="H1065">
        <v>1.7119402135442043E-4</v>
      </c>
      <c r="J1065">
        <v>140246.16429656479</v>
      </c>
      <c r="L1065">
        <v>1.1899999999999966</v>
      </c>
      <c r="N1065">
        <v>-7.3507607501861858E-4</v>
      </c>
      <c r="P1065">
        <v>7.0413260498173771E-2</v>
      </c>
      <c r="R1065">
        <v>2.2687470456019798E-29</v>
      </c>
    </row>
    <row r="1066" spans="1:18" x14ac:dyDescent="0.3">
      <c r="A1066">
        <v>1.1849999999999967</v>
      </c>
      <c r="B1066">
        <v>4.4000000000000002E-6</v>
      </c>
      <c r="D1066">
        <v>70.076263281098662</v>
      </c>
      <c r="F1066">
        <v>5.8200822436420166E-4</v>
      </c>
      <c r="H1066">
        <v>1.7119402135442043E-4</v>
      </c>
      <c r="J1066">
        <v>140246.16429656479</v>
      </c>
      <c r="L1066">
        <v>1.1849999999999967</v>
      </c>
      <c r="N1066">
        <v>-7.3216603389679761E-4</v>
      </c>
      <c r="P1066">
        <v>7.0141028970479288E-2</v>
      </c>
      <c r="R1066">
        <v>5.9575187148357945E-30</v>
      </c>
    </row>
    <row r="1067" spans="1:18" x14ac:dyDescent="0.3">
      <c r="A1067">
        <v>1.1799999999999968</v>
      </c>
      <c r="B1067">
        <v>4.4000000000000002E-6</v>
      </c>
      <c r="D1067">
        <v>70.076263281098662</v>
      </c>
      <c r="F1067">
        <v>5.8200822436420166E-4</v>
      </c>
      <c r="H1067">
        <v>1.7119402135442043E-4</v>
      </c>
      <c r="J1067">
        <v>140246.16429656479</v>
      </c>
      <c r="L1067">
        <v>1.1799999999999968</v>
      </c>
      <c r="N1067">
        <v>-7.2925599277497664E-4</v>
      </c>
      <c r="P1067">
        <v>6.9868705534491302E-2</v>
      </c>
      <c r="R1067">
        <v>1.5272015662649222E-30</v>
      </c>
    </row>
    <row r="1068" spans="1:18" x14ac:dyDescent="0.3">
      <c r="A1068">
        <v>1.1749999999999969</v>
      </c>
      <c r="B1068">
        <v>4.4000000000000002E-6</v>
      </c>
      <c r="D1068">
        <v>70.076263281098662</v>
      </c>
      <c r="F1068">
        <v>5.8200822436420166E-4</v>
      </c>
      <c r="H1068">
        <v>1.7119402135442043E-4</v>
      </c>
      <c r="J1068">
        <v>140246.16429656479</v>
      </c>
      <c r="L1068">
        <v>1.1749999999999969</v>
      </c>
      <c r="N1068">
        <v>-7.2634595165315568E-4</v>
      </c>
      <c r="P1068">
        <v>6.9596289769538744E-2</v>
      </c>
      <c r="R1068">
        <v>3.8201571162267011E-31</v>
      </c>
    </row>
    <row r="1069" spans="1:18" x14ac:dyDescent="0.3">
      <c r="A1069">
        <v>1.169999999999997</v>
      </c>
      <c r="B1069">
        <v>4.4000000000000002E-6</v>
      </c>
      <c r="D1069">
        <v>70.076263281098662</v>
      </c>
      <c r="F1069">
        <v>5.8200822436420166E-4</v>
      </c>
      <c r="H1069">
        <v>1.7119402135442043E-4</v>
      </c>
      <c r="J1069">
        <v>140246.16429656479</v>
      </c>
      <c r="L1069">
        <v>1.169999999999997</v>
      </c>
      <c r="N1069">
        <v>-7.2343591053133471E-4</v>
      </c>
      <c r="P1069">
        <v>6.9323781251226457E-2</v>
      </c>
      <c r="R1069">
        <v>9.3200427484825975E-32</v>
      </c>
    </row>
    <row r="1070" spans="1:18" x14ac:dyDescent="0.3">
      <c r="A1070">
        <v>1.1649999999999971</v>
      </c>
      <c r="B1070">
        <v>4.4000000000000002E-6</v>
      </c>
      <c r="D1070">
        <v>70.076263281098662</v>
      </c>
      <c r="F1070">
        <v>5.8200822436420166E-4</v>
      </c>
      <c r="H1070">
        <v>1.7119402135442043E-4</v>
      </c>
      <c r="J1070">
        <v>140246.16429656479</v>
      </c>
      <c r="L1070">
        <v>1.1649999999999971</v>
      </c>
      <c r="N1070">
        <v>-7.2052586940951375E-4</v>
      </c>
      <c r="P1070">
        <v>6.9051179551386233E-2</v>
      </c>
      <c r="R1070">
        <v>2.2166634634674421E-32</v>
      </c>
    </row>
    <row r="1071" spans="1:18" x14ac:dyDescent="0.3">
      <c r="A1071">
        <v>1.1599999999999973</v>
      </c>
      <c r="B1071">
        <v>4.4000000000000002E-6</v>
      </c>
      <c r="D1071">
        <v>70.076263281098662</v>
      </c>
      <c r="F1071">
        <v>5.8200822436420166E-4</v>
      </c>
      <c r="H1071">
        <v>1.7119402135442043E-4</v>
      </c>
      <c r="J1071">
        <v>140246.16429656479</v>
      </c>
      <c r="L1071">
        <v>1.1599999999999973</v>
      </c>
      <c r="N1071">
        <v>-7.1761582828769278E-4</v>
      </c>
      <c r="P1071">
        <v>6.8778484238026891E-2</v>
      </c>
      <c r="R1071">
        <v>5.1370703481570322E-33</v>
      </c>
    </row>
    <row r="1072" spans="1:18" x14ac:dyDescent="0.3">
      <c r="A1072">
        <v>1.1549999999999974</v>
      </c>
      <c r="B1072">
        <v>4.4000000000000002E-6</v>
      </c>
      <c r="D1072">
        <v>70.076263281098662</v>
      </c>
      <c r="F1072">
        <v>5.8200822436420166E-4</v>
      </c>
      <c r="H1072">
        <v>1.7119402135442043E-4</v>
      </c>
      <c r="J1072">
        <v>140246.16429656479</v>
      </c>
      <c r="L1072">
        <v>1.1549999999999974</v>
      </c>
      <c r="N1072">
        <v>-7.1470578716587181E-4</v>
      </c>
      <c r="P1072">
        <v>6.8505694875283532E-2</v>
      </c>
      <c r="R1072">
        <v>1.1594421663764706E-33</v>
      </c>
    </row>
    <row r="1073" spans="1:18" x14ac:dyDescent="0.3">
      <c r="A1073">
        <v>1.1499999999999975</v>
      </c>
      <c r="B1073">
        <v>4.4000000000000002E-6</v>
      </c>
      <c r="D1073">
        <v>70.076263281098662</v>
      </c>
      <c r="F1073">
        <v>5.8200822436420166E-4</v>
      </c>
      <c r="H1073">
        <v>1.7119402135442043E-4</v>
      </c>
      <c r="J1073">
        <v>140246.16429656479</v>
      </c>
      <c r="L1073">
        <v>1.1499999999999975</v>
      </c>
      <c r="N1073">
        <v>-7.1179574604405085E-4</v>
      </c>
      <c r="P1073">
        <v>6.8232811023365827E-2</v>
      </c>
      <c r="R1073">
        <v>2.5472966715932001E-34</v>
      </c>
    </row>
    <row r="1074" spans="1:18" x14ac:dyDescent="0.3">
      <c r="A1074">
        <v>1.1449999999999976</v>
      </c>
      <c r="B1074">
        <v>4.4000000000000002E-6</v>
      </c>
      <c r="D1074">
        <v>70.076263281098662</v>
      </c>
      <c r="F1074">
        <v>5.8200822436420166E-4</v>
      </c>
      <c r="H1074">
        <v>1.7119402135442043E-4</v>
      </c>
      <c r="J1074">
        <v>140246.16429656479</v>
      </c>
      <c r="L1074">
        <v>1.1449999999999976</v>
      </c>
      <c r="N1074">
        <v>-7.0888570492222988E-4</v>
      </c>
      <c r="P1074">
        <v>6.7959832238505546E-2</v>
      </c>
      <c r="R1074">
        <v>5.4447860952448903E-35</v>
      </c>
    </row>
    <row r="1075" spans="1:18" x14ac:dyDescent="0.3">
      <c r="A1075">
        <v>1.1399999999999977</v>
      </c>
      <c r="B1075">
        <v>4.4000000000000002E-6</v>
      </c>
      <c r="D1075">
        <v>70.076263281098662</v>
      </c>
      <c r="F1075">
        <v>5.8200822436420166E-4</v>
      </c>
      <c r="H1075">
        <v>1.7119402135442043E-4</v>
      </c>
      <c r="J1075">
        <v>140246.16429656479</v>
      </c>
      <c r="L1075">
        <v>1.1399999999999977</v>
      </c>
      <c r="N1075">
        <v>-7.0597566380040892E-4</v>
      </c>
      <c r="P1075">
        <v>6.7686758072902933E-2</v>
      </c>
      <c r="R1075">
        <v>1.1316752047793415E-35</v>
      </c>
    </row>
    <row r="1076" spans="1:18" x14ac:dyDescent="0.3">
      <c r="A1076">
        <v>1.1349999999999978</v>
      </c>
      <c r="B1076">
        <v>4.4000000000000002E-6</v>
      </c>
      <c r="D1076">
        <v>70.076263281098662</v>
      </c>
      <c r="F1076">
        <v>5.8200822436420166E-4</v>
      </c>
      <c r="H1076">
        <v>1.7119402135442043E-4</v>
      </c>
      <c r="J1076">
        <v>140246.16429656479</v>
      </c>
      <c r="L1076">
        <v>1.1349999999999978</v>
      </c>
      <c r="N1076">
        <v>-7.0306562267858795E-4</v>
      </c>
      <c r="P1076">
        <v>6.741358807467232E-2</v>
      </c>
      <c r="R1076">
        <v>2.2859460534965347E-36</v>
      </c>
    </row>
    <row r="1077" spans="1:18" x14ac:dyDescent="0.3">
      <c r="A1077">
        <v>1.1299999999999979</v>
      </c>
      <c r="B1077">
        <v>4.4000000000000002E-6</v>
      </c>
      <c r="D1077">
        <v>70.076263281098662</v>
      </c>
      <c r="F1077">
        <v>5.8200822436420166E-4</v>
      </c>
      <c r="H1077">
        <v>1.7119402135442043E-4</v>
      </c>
      <c r="J1077">
        <v>140246.16429656479</v>
      </c>
      <c r="L1077">
        <v>1.1299999999999979</v>
      </c>
      <c r="N1077">
        <v>-7.0015558155676698E-4</v>
      </c>
      <c r="P1077">
        <v>6.7140321787786644E-2</v>
      </c>
      <c r="R1077">
        <v>4.4850925907331749E-37</v>
      </c>
    </row>
    <row r="1078" spans="1:18" x14ac:dyDescent="0.3">
      <c r="A1078">
        <v>1.124999999999998</v>
      </c>
      <c r="B1078">
        <v>4.4000000000000002E-6</v>
      </c>
      <c r="D1078">
        <v>70.076263281098662</v>
      </c>
      <c r="F1078">
        <v>5.8200822436420166E-4</v>
      </c>
      <c r="H1078">
        <v>1.7119402135442043E-4</v>
      </c>
      <c r="J1078">
        <v>140246.16429656479</v>
      </c>
      <c r="L1078">
        <v>1.124999999999998</v>
      </c>
      <c r="N1078">
        <v>-6.9724554043494602E-4</v>
      </c>
      <c r="P1078">
        <v>6.686695875202095E-2</v>
      </c>
      <c r="R1078">
        <v>8.5426097079901107E-38</v>
      </c>
    </row>
    <row r="1079" spans="1:18" x14ac:dyDescent="0.3">
      <c r="A1079">
        <v>1.1199999999999981</v>
      </c>
      <c r="B1079">
        <v>4.4000000000000002E-6</v>
      </c>
      <c r="D1079">
        <v>70.076263281098662</v>
      </c>
      <c r="F1079">
        <v>5.8200822436420166E-4</v>
      </c>
      <c r="H1079">
        <v>1.7119402135442043E-4</v>
      </c>
      <c r="J1079">
        <v>140246.16429656479</v>
      </c>
      <c r="L1079">
        <v>1.1199999999999981</v>
      </c>
      <c r="N1079">
        <v>-6.9433549931312505E-4</v>
      </c>
      <c r="P1079">
        <v>6.6593498502895004E-2</v>
      </c>
      <c r="R1079">
        <v>1.57859285211863E-38</v>
      </c>
    </row>
    <row r="1080" spans="1:18" x14ac:dyDescent="0.3">
      <c r="A1080">
        <v>1.1149999999999982</v>
      </c>
      <c r="B1080">
        <v>4.4000000000000002E-6</v>
      </c>
      <c r="D1080">
        <v>70.076263281098662</v>
      </c>
      <c r="F1080">
        <v>5.8200822436420166E-4</v>
      </c>
      <c r="H1080">
        <v>1.7119402135442043E-4</v>
      </c>
      <c r="J1080">
        <v>140246.16429656479</v>
      </c>
      <c r="L1080">
        <v>1.1149999999999982</v>
      </c>
      <c r="N1080">
        <v>-6.9142545819130409E-4</v>
      </c>
      <c r="P1080">
        <v>6.6319940571614722E-2</v>
      </c>
      <c r="R1080">
        <v>2.8284655798186207E-39</v>
      </c>
    </row>
    <row r="1081" spans="1:18" x14ac:dyDescent="0.3">
      <c r="A1081">
        <v>1.1099999999999983</v>
      </c>
      <c r="B1081">
        <v>4.4000000000000002E-6</v>
      </c>
      <c r="D1081">
        <v>70.076263281098662</v>
      </c>
      <c r="F1081">
        <v>5.8200822436420166E-4</v>
      </c>
      <c r="H1081">
        <v>1.7119402135442043E-4</v>
      </c>
      <c r="J1081">
        <v>140246.16429656479</v>
      </c>
      <c r="L1081">
        <v>1.1099999999999983</v>
      </c>
      <c r="N1081">
        <v>-6.8851541706948312E-4</v>
      </c>
      <c r="P1081">
        <v>6.6046284485012582E-2</v>
      </c>
      <c r="R1081">
        <v>4.9109732444149922E-40</v>
      </c>
    </row>
    <row r="1082" spans="1:18" x14ac:dyDescent="0.3">
      <c r="A1082">
        <v>1.1049999999999984</v>
      </c>
      <c r="B1082">
        <v>4.4000000000000002E-6</v>
      </c>
      <c r="D1082">
        <v>70.076263281098662</v>
      </c>
      <c r="F1082">
        <v>5.8200822436420166E-4</v>
      </c>
      <c r="H1082">
        <v>1.7119402135442043E-4</v>
      </c>
      <c r="J1082">
        <v>140246.16429656479</v>
      </c>
      <c r="L1082">
        <v>1.1049999999999984</v>
      </c>
      <c r="N1082">
        <v>-6.8560537594766215E-4</v>
      </c>
      <c r="P1082">
        <v>6.5772529765486934E-2</v>
      </c>
      <c r="R1082">
        <v>8.2575003198757794E-41</v>
      </c>
    </row>
    <row r="1083" spans="1:18" x14ac:dyDescent="0.3">
      <c r="A1083">
        <v>1.0999999999999985</v>
      </c>
      <c r="B1083">
        <v>4.4000000000000002E-6</v>
      </c>
      <c r="D1083">
        <v>70.076263281098662</v>
      </c>
      <c r="F1083">
        <v>5.8200822436420166E-4</v>
      </c>
      <c r="H1083">
        <v>1.7119402135442043E-4</v>
      </c>
      <c r="J1083">
        <v>140246.16429656479</v>
      </c>
      <c r="L1083">
        <v>1.0999999999999985</v>
      </c>
      <c r="N1083">
        <v>-6.8269533482584119E-4</v>
      </c>
      <c r="P1083">
        <v>6.5498675930940192E-2</v>
      </c>
      <c r="R1083">
        <v>1.343742419837657E-41</v>
      </c>
    </row>
    <row r="1084" spans="1:18" x14ac:dyDescent="0.3">
      <c r="A1084">
        <v>1.0949999999999986</v>
      </c>
      <c r="B1084">
        <v>4.4000000000000002E-6</v>
      </c>
      <c r="D1084">
        <v>70.076263281098662</v>
      </c>
      <c r="F1084">
        <v>5.8200822436420166E-4</v>
      </c>
      <c r="H1084">
        <v>1.7119402135442043E-4</v>
      </c>
      <c r="J1084">
        <v>140246.16429656479</v>
      </c>
      <c r="L1084">
        <v>1.0949999999999986</v>
      </c>
      <c r="N1084">
        <v>-6.7978529370402022E-4</v>
      </c>
      <c r="P1084">
        <v>6.5224722494715892E-2</v>
      </c>
      <c r="R1084">
        <v>2.114877844144488E-42</v>
      </c>
    </row>
    <row r="1085" spans="1:18" x14ac:dyDescent="0.3">
      <c r="A1085">
        <v>1.0899999999999987</v>
      </c>
      <c r="B1085">
        <v>4.4000000000000002E-6</v>
      </c>
      <c r="D1085">
        <v>70.076263281098662</v>
      </c>
      <c r="F1085">
        <v>5.8200822436420166E-4</v>
      </c>
      <c r="H1085">
        <v>1.7119402135442043E-4</v>
      </c>
      <c r="J1085">
        <v>140246.16429656479</v>
      </c>
      <c r="L1085">
        <v>1.0899999999999987</v>
      </c>
      <c r="N1085">
        <v>-6.7687525258219926E-4</v>
      </c>
      <c r="P1085">
        <v>6.4950668965534544E-2</v>
      </c>
      <c r="R1085">
        <v>3.2171034619496442E-43</v>
      </c>
    </row>
    <row r="1086" spans="1:18" x14ac:dyDescent="0.3">
      <c r="A1086">
        <v>1.0849999999999989</v>
      </c>
      <c r="B1086">
        <v>4.4000000000000002E-6</v>
      </c>
      <c r="D1086">
        <v>70.076263281098662</v>
      </c>
      <c r="F1086">
        <v>5.8200822436420166E-4</v>
      </c>
      <c r="H1086">
        <v>1.7119402135442043E-4</v>
      </c>
      <c r="J1086">
        <v>140246.16429656479</v>
      </c>
      <c r="L1086">
        <v>1.0849999999999989</v>
      </c>
      <c r="N1086">
        <v>-6.7396521146037829E-4</v>
      </c>
      <c r="P1086">
        <v>6.4676514847428299E-2</v>
      </c>
      <c r="R1086">
        <v>4.7266878210038591E-44</v>
      </c>
    </row>
    <row r="1087" spans="1:18" x14ac:dyDescent="0.3">
      <c r="A1087">
        <v>1.079999999999999</v>
      </c>
      <c r="B1087">
        <v>4.4000000000000002E-6</v>
      </c>
      <c r="D1087">
        <v>70.076263281098662</v>
      </c>
      <c r="F1087">
        <v>5.8200822436420166E-4</v>
      </c>
      <c r="H1087">
        <v>1.7119402135442043E-4</v>
      </c>
      <c r="J1087">
        <v>140246.16429656479</v>
      </c>
      <c r="L1087">
        <v>1.079999999999999</v>
      </c>
      <c r="N1087">
        <v>-6.7105517033855732E-4</v>
      </c>
      <c r="P1087">
        <v>6.4402259639674428E-2</v>
      </c>
      <c r="R1087">
        <v>6.7027876131095103E-45</v>
      </c>
    </row>
    <row r="1088" spans="1:18" x14ac:dyDescent="0.3">
      <c r="A1088">
        <v>1.0749999999999991</v>
      </c>
      <c r="B1088">
        <v>4.4000000000000002E-6</v>
      </c>
      <c r="D1088">
        <v>70.076263281098662</v>
      </c>
      <c r="F1088">
        <v>5.8200822436420166E-4</v>
      </c>
      <c r="H1088">
        <v>1.7119402135442043E-4</v>
      </c>
      <c r="J1088">
        <v>140246.16429656479</v>
      </c>
      <c r="L1088">
        <v>1.0749999999999991</v>
      </c>
      <c r="N1088">
        <v>-6.6814512921673636E-4</v>
      </c>
      <c r="P1088">
        <v>6.4127902836727507E-2</v>
      </c>
      <c r="R1088">
        <v>9.1674333242966064E-46</v>
      </c>
    </row>
    <row r="1089" spans="1:18" x14ac:dyDescent="0.3">
      <c r="A1089">
        <v>1.0699999999999992</v>
      </c>
      <c r="B1089">
        <v>4.4000000000000002E-6</v>
      </c>
      <c r="D1089">
        <v>70.076263281098662</v>
      </c>
      <c r="F1089">
        <v>5.8200822436420166E-4</v>
      </c>
      <c r="H1089">
        <v>1.7119402135442043E-4</v>
      </c>
      <c r="J1089">
        <v>140246.16429656479</v>
      </c>
      <c r="L1089">
        <v>1.0699999999999992</v>
      </c>
      <c r="N1089">
        <v>-6.6523508809491539E-4</v>
      </c>
      <c r="P1089">
        <v>6.3853443928150205E-2</v>
      </c>
      <c r="R1089">
        <v>1.2084073291589345E-46</v>
      </c>
    </row>
    <row r="1090" spans="1:18" x14ac:dyDescent="0.3">
      <c r="A1090">
        <v>1.0649999999999993</v>
      </c>
      <c r="B1090">
        <v>4.4000000000000002E-6</v>
      </c>
      <c r="D1090">
        <v>70.076263281098662</v>
      </c>
      <c r="F1090">
        <v>5.8200822436420166E-4</v>
      </c>
      <c r="H1090">
        <v>1.7119402135442043E-4</v>
      </c>
      <c r="J1090">
        <v>140246.16429656479</v>
      </c>
      <c r="L1090">
        <v>1.0649999999999993</v>
      </c>
      <c r="N1090">
        <v>-6.6232504697309443E-4</v>
      </c>
      <c r="P1090">
        <v>6.3578882398543049E-2</v>
      </c>
      <c r="R1090">
        <v>1.5339950169537508E-47</v>
      </c>
    </row>
    <row r="1091" spans="1:18" x14ac:dyDescent="0.3">
      <c r="A1091">
        <v>1.0599999999999994</v>
      </c>
      <c r="B1091">
        <v>4.4000000000000002E-6</v>
      </c>
      <c r="D1091">
        <v>70.076263281098662</v>
      </c>
      <c r="F1091">
        <v>5.8200822436420166E-4</v>
      </c>
      <c r="H1091">
        <v>1.7119402135442043E-4</v>
      </c>
      <c r="J1091">
        <v>140246.16429656479</v>
      </c>
      <c r="L1091">
        <v>1.0599999999999994</v>
      </c>
      <c r="N1091">
        <v>-6.5941500585127346E-4</v>
      </c>
      <c r="P1091">
        <v>6.3304217727472495E-2</v>
      </c>
      <c r="R1091">
        <v>1.873886317931781E-48</v>
      </c>
    </row>
    <row r="1092" spans="1:18" x14ac:dyDescent="0.3">
      <c r="A1092">
        <v>1.0549999999999995</v>
      </c>
      <c r="B1092">
        <v>4.4000000000000002E-6</v>
      </c>
      <c r="D1092">
        <v>70.076263281098662</v>
      </c>
      <c r="F1092">
        <v>5.8200822436420166E-4</v>
      </c>
      <c r="H1092">
        <v>1.7119402135442043E-4</v>
      </c>
      <c r="J1092">
        <v>140246.16429656479</v>
      </c>
      <c r="L1092">
        <v>1.0549999999999995</v>
      </c>
      <c r="N1092">
        <v>-6.5650496472945249E-4</v>
      </c>
      <c r="P1092">
        <v>6.3029449389397862E-2</v>
      </c>
      <c r="R1092">
        <v>2.201033464022822E-49</v>
      </c>
    </row>
    <row r="1093" spans="1:18" x14ac:dyDescent="0.3">
      <c r="A1093">
        <v>1.0499999999999996</v>
      </c>
      <c r="B1093">
        <v>4.4000000000000002E-6</v>
      </c>
      <c r="D1093">
        <v>70.076263281098662</v>
      </c>
      <c r="F1093">
        <v>5.8200822436420166E-4</v>
      </c>
      <c r="H1093">
        <v>1.7119402135442043E-4</v>
      </c>
      <c r="J1093">
        <v>140246.16429656479</v>
      </c>
      <c r="L1093">
        <v>1.0499999999999996</v>
      </c>
      <c r="N1093">
        <v>-6.5359492360763153E-4</v>
      </c>
      <c r="P1093">
        <v>6.2754576853596741E-2</v>
      </c>
      <c r="R1093">
        <v>2.483825493135516E-50</v>
      </c>
    </row>
    <row r="1094" spans="1:18" x14ac:dyDescent="0.3">
      <c r="A1094">
        <v>1.0449999999999997</v>
      </c>
      <c r="B1094">
        <v>4.4000000000000002E-6</v>
      </c>
      <c r="D1094">
        <v>70.076263281098662</v>
      </c>
      <c r="F1094">
        <v>5.8200822436420166E-4</v>
      </c>
      <c r="H1094">
        <v>1.7119402135442043E-4</v>
      </c>
      <c r="J1094">
        <v>140246.16429656479</v>
      </c>
      <c r="L1094">
        <v>1.0449999999999997</v>
      </c>
      <c r="N1094">
        <v>-6.5068488248581056E-4</v>
      </c>
      <c r="P1094">
        <v>6.2479599584088989E-2</v>
      </c>
      <c r="R1094">
        <v>2.6906964547861267E-51</v>
      </c>
    </row>
    <row r="1095" spans="1:18" x14ac:dyDescent="0.3">
      <c r="A1095">
        <v>1.0399999999999998</v>
      </c>
      <c r="B1095">
        <v>4.4000000000000002E-6</v>
      </c>
      <c r="D1095">
        <v>70.076263281098662</v>
      </c>
      <c r="F1095">
        <v>5.8200822436420166E-4</v>
      </c>
      <c r="H1095">
        <v>1.7119402135442043E-4</v>
      </c>
      <c r="J1095">
        <v>140246.16429656479</v>
      </c>
      <c r="L1095">
        <v>1.0399999999999998</v>
      </c>
      <c r="N1095">
        <v>-6.477748413639896E-4</v>
      </c>
      <c r="P1095">
        <v>6.2204517039559218E-2</v>
      </c>
      <c r="R1095">
        <v>2.7956749604513893E-52</v>
      </c>
    </row>
    <row r="1096" spans="1:18" x14ac:dyDescent="0.3">
      <c r="A1096">
        <v>1.0349999999999999</v>
      </c>
      <c r="B1096">
        <v>4.4000000000000002E-6</v>
      </c>
      <c r="D1096">
        <v>70.076263281098662</v>
      </c>
      <c r="F1096">
        <v>5.8200822436420166E-4</v>
      </c>
      <c r="H1096">
        <v>1.7119402135442043E-4</v>
      </c>
      <c r="J1096">
        <v>140246.16429656479</v>
      </c>
      <c r="L1096">
        <v>1.0349999999999999</v>
      </c>
      <c r="N1096">
        <v>-6.4486480024216863E-4</v>
      </c>
      <c r="P1096">
        <v>6.1929328673277759E-2</v>
      </c>
      <c r="R1096">
        <v>2.7836002571888801E-53</v>
      </c>
    </row>
    <row r="1097" spans="1:18" x14ac:dyDescent="0.3">
      <c r="A1097">
        <v>1.03</v>
      </c>
      <c r="B1097">
        <v>4.4000000000000002E-6</v>
      </c>
      <c r="D1097">
        <v>70.076263281098662</v>
      </c>
      <c r="F1097">
        <v>5.8200822436420166E-4</v>
      </c>
      <c r="H1097">
        <v>1.7119402135442043E-4</v>
      </c>
      <c r="J1097">
        <v>140246.16429656479</v>
      </c>
      <c r="L1097">
        <v>1.03</v>
      </c>
      <c r="N1097">
        <v>-6.4195475912034766E-4</v>
      </c>
      <c r="P1097">
        <v>6.1654033933020186E-2</v>
      </c>
      <c r="R1097">
        <v>2.6536009140760235E-54</v>
      </c>
    </row>
    <row r="1098" spans="1:18" x14ac:dyDescent="0.3">
      <c r="A1098">
        <v>1.0250000000000001</v>
      </c>
      <c r="B1098">
        <v>4.4000000000000002E-6</v>
      </c>
      <c r="D1098">
        <v>70.076263281098662</v>
      </c>
      <c r="F1098">
        <v>5.8200822436420166E-4</v>
      </c>
      <c r="H1098">
        <v>1.7119402135442043E-4</v>
      </c>
      <c r="J1098">
        <v>140246.16429656479</v>
      </c>
      <c r="L1098">
        <v>1.0250000000000001</v>
      </c>
      <c r="N1098">
        <v>-6.390447179985267E-4</v>
      </c>
      <c r="P1098">
        <v>6.1378632260984972E-2</v>
      </c>
      <c r="R1098">
        <v>2.4197661221067658E-55</v>
      </c>
    </row>
    <row r="1099" spans="1:18" x14ac:dyDescent="0.3">
      <c r="A1099">
        <v>1.0200000000000002</v>
      </c>
      <c r="B1099">
        <v>4.4000000000000002E-6</v>
      </c>
      <c r="D1099">
        <v>70.076263281098662</v>
      </c>
      <c r="F1099">
        <v>5.8200822436420166E-4</v>
      </c>
      <c r="H1099">
        <v>1.7119402135442043E-4</v>
      </c>
      <c r="J1099">
        <v>140246.16429656479</v>
      </c>
      <c r="L1099">
        <v>1.0200000000000002</v>
      </c>
      <c r="N1099">
        <v>-6.3613467687670573E-4</v>
      </c>
      <c r="P1099">
        <v>6.1103123093709841E-2</v>
      </c>
      <c r="R1099">
        <v>2.1086795613641105E-56</v>
      </c>
    </row>
    <row r="1100" spans="1:18" x14ac:dyDescent="0.3">
      <c r="A1100">
        <v>1.0150000000000003</v>
      </c>
      <c r="B1100">
        <v>4.4000000000000002E-6</v>
      </c>
      <c r="D1100">
        <v>70.076263281098662</v>
      </c>
      <c r="F1100">
        <v>5.8200822436420166E-4</v>
      </c>
      <c r="H1100">
        <v>1.7119402135442043E-4</v>
      </c>
      <c r="J1100">
        <v>140246.16429656479</v>
      </c>
      <c r="L1100">
        <v>1.0150000000000003</v>
      </c>
      <c r="N1100">
        <v>-6.3322463575488477E-4</v>
      </c>
      <c r="P1100">
        <v>6.0827505861986202E-2</v>
      </c>
      <c r="R1100">
        <v>1.7543940132199041E-57</v>
      </c>
    </row>
    <row r="1101" spans="1:18" x14ac:dyDescent="0.3">
      <c r="A1101">
        <v>1.0100000000000005</v>
      </c>
      <c r="B1101">
        <v>4.4000000000000002E-6</v>
      </c>
      <c r="D1101">
        <v>70.076263281098662</v>
      </c>
      <c r="F1101">
        <v>5.8200822436420166E-4</v>
      </c>
      <c r="H1101">
        <v>1.7119402135442043E-4</v>
      </c>
      <c r="J1101">
        <v>140246.16429656479</v>
      </c>
      <c r="L1101">
        <v>1.0100000000000005</v>
      </c>
      <c r="N1101">
        <v>-6.303145946330638E-4</v>
      </c>
      <c r="P1101">
        <v>6.0551779990771944E-2</v>
      </c>
      <c r="R1101">
        <v>1.3921698747178527E-58</v>
      </c>
    </row>
    <row r="1102" spans="1:18" x14ac:dyDescent="0.3">
      <c r="A1102">
        <v>1.0050000000000006</v>
      </c>
      <c r="B1102">
        <v>4.4000000000000002E-6</v>
      </c>
      <c r="D1102">
        <v>70.076263281098662</v>
      </c>
      <c r="F1102">
        <v>5.8200822436420166E-4</v>
      </c>
      <c r="H1102">
        <v>1.7119402135442043E-4</v>
      </c>
      <c r="J1102">
        <v>140246.16429656479</v>
      </c>
      <c r="L1102">
        <v>1.0050000000000006</v>
      </c>
      <c r="N1102">
        <v>-6.2740455351124283E-4</v>
      </c>
      <c r="P1102">
        <v>6.0275944899102485E-2</v>
      </c>
      <c r="R1102">
        <v>1.0526015401989996E-59</v>
      </c>
    </row>
    <row r="1103" spans="1:18" x14ac:dyDescent="0.3">
      <c r="A1103">
        <v>1.0000000000000007</v>
      </c>
      <c r="B1103">
        <v>4.4000000000000002E-6</v>
      </c>
      <c r="D1103">
        <v>70.076263281098662</v>
      </c>
      <c r="F1103">
        <v>5.8200822436420166E-4</v>
      </c>
      <c r="H1103">
        <v>1.7119402135442043E-4</v>
      </c>
      <c r="J1103">
        <v>140246.16429656479</v>
      </c>
      <c r="L1103">
        <v>1.0000000000000007</v>
      </c>
      <c r="N1103">
        <v>-6.2449451238942187E-4</v>
      </c>
      <c r="P1103">
        <v>6.0000000000000039E-2</v>
      </c>
      <c r="R1103">
        <v>7.5751139023852884E-61</v>
      </c>
    </row>
    <row r="1104" spans="1:18" x14ac:dyDescent="0.3">
      <c r="A1104">
        <v>0.99500000000000077</v>
      </c>
      <c r="B1104">
        <v>4.4000000000000002E-6</v>
      </c>
      <c r="D1104">
        <v>70.076263281098662</v>
      </c>
      <c r="F1104">
        <v>5.8200822436420166E-4</v>
      </c>
      <c r="H1104">
        <v>1.7119402135442043E-4</v>
      </c>
      <c r="J1104">
        <v>140246.16429656479</v>
      </c>
      <c r="L1104">
        <v>0.99500000000000077</v>
      </c>
      <c r="N1104">
        <v>-6.215844712676009E-4</v>
      </c>
      <c r="P1104">
        <v>5.9723944700380907E-2</v>
      </c>
      <c r="R1104">
        <v>5.1832564996124561E-62</v>
      </c>
    </row>
    <row r="1105" spans="1:18" x14ac:dyDescent="0.3">
      <c r="A1105">
        <v>0.99000000000000077</v>
      </c>
      <c r="B1105">
        <v>4.4000000000000002E-6</v>
      </c>
      <c r="D1105">
        <v>70.076263281098662</v>
      </c>
      <c r="F1105">
        <v>5.8200822436420166E-4</v>
      </c>
      <c r="H1105">
        <v>1.7119402135442043E-4</v>
      </c>
      <c r="J1105">
        <v>140246.16429656479</v>
      </c>
      <c r="L1105">
        <v>0.99000000000000077</v>
      </c>
      <c r="N1105">
        <v>-6.1867443014577994E-4</v>
      </c>
      <c r="P1105">
        <v>5.9447778400961028E-2</v>
      </c>
      <c r="R1105">
        <v>3.3684294783487222E-63</v>
      </c>
    </row>
    <row r="1106" spans="1:18" x14ac:dyDescent="0.3">
      <c r="A1106">
        <v>0.98500000000000076</v>
      </c>
      <c r="B1106">
        <v>4.4000000000000002E-6</v>
      </c>
      <c r="D1106">
        <v>70.076263281098662</v>
      </c>
      <c r="F1106">
        <v>5.8200822436420166E-4</v>
      </c>
      <c r="H1106">
        <v>1.7119402135442043E-4</v>
      </c>
      <c r="J1106">
        <v>140246.16429656479</v>
      </c>
      <c r="L1106">
        <v>0.98500000000000076</v>
      </c>
      <c r="N1106">
        <v>-6.1576438902395897E-4</v>
      </c>
      <c r="P1106">
        <v>5.9171500496159476E-2</v>
      </c>
      <c r="R1106">
        <v>2.0767002485261284E-64</v>
      </c>
    </row>
    <row r="1107" spans="1:18" x14ac:dyDescent="0.3">
      <c r="A1107">
        <v>0.98000000000000076</v>
      </c>
      <c r="B1107">
        <v>4.4000000000000002E-6</v>
      </c>
      <c r="D1107">
        <v>70.076263281098662</v>
      </c>
      <c r="F1107">
        <v>5.8200822436420166E-4</v>
      </c>
      <c r="H1107">
        <v>1.7119402135442043E-4</v>
      </c>
      <c r="J1107">
        <v>140246.16429656479</v>
      </c>
      <c r="L1107">
        <v>0.98000000000000076</v>
      </c>
      <c r="N1107">
        <v>-6.12854347902138E-4</v>
      </c>
      <c r="P1107">
        <v>5.8895110374000005E-2</v>
      </c>
      <c r="R1107">
        <v>1.2132191811382942E-65</v>
      </c>
    </row>
    <row r="1108" spans="1:18" x14ac:dyDescent="0.3">
      <c r="A1108">
        <v>0.97500000000000075</v>
      </c>
      <c r="B1108">
        <v>4.4000000000000002E-6</v>
      </c>
      <c r="D1108">
        <v>70.076263281098662</v>
      </c>
      <c r="F1108">
        <v>5.8200822436420166E-4</v>
      </c>
      <c r="H1108">
        <v>1.7119402135442043E-4</v>
      </c>
      <c r="J1108">
        <v>140246.16429656479</v>
      </c>
      <c r="L1108">
        <v>0.97500000000000075</v>
      </c>
      <c r="N1108">
        <v>-6.0994430678031704E-4</v>
      </c>
      <c r="P1108">
        <v>5.8618607416010507E-2</v>
      </c>
      <c r="R1108">
        <v>6.7082315877452823E-67</v>
      </c>
    </row>
    <row r="1109" spans="1:18" x14ac:dyDescent="0.3">
      <c r="A1109">
        <v>0.97000000000000075</v>
      </c>
      <c r="B1109">
        <v>4.4000000000000002E-6</v>
      </c>
      <c r="D1109">
        <v>70.076263281098662</v>
      </c>
      <c r="F1109">
        <v>5.8200822436420166E-4</v>
      </c>
      <c r="H1109">
        <v>1.7119402135442043E-4</v>
      </c>
      <c r="J1109">
        <v>140246.16429656479</v>
      </c>
      <c r="L1109">
        <v>0.97000000000000075</v>
      </c>
      <c r="N1109">
        <v>-6.0703426565849607E-4</v>
      </c>
      <c r="P1109">
        <v>5.8341990997120383E-2</v>
      </c>
      <c r="R1109">
        <v>3.5063131109908609E-68</v>
      </c>
    </row>
    <row r="1110" spans="1:18" x14ac:dyDescent="0.3">
      <c r="A1110">
        <v>0.96500000000000075</v>
      </c>
      <c r="B1110">
        <v>4.4000000000000002E-6</v>
      </c>
      <c r="D1110">
        <v>70.076263281098662</v>
      </c>
      <c r="F1110">
        <v>5.8200822436420166E-4</v>
      </c>
      <c r="H1110">
        <v>1.7119402135442043E-4</v>
      </c>
      <c r="J1110">
        <v>140246.16429656479</v>
      </c>
      <c r="L1110">
        <v>0.96500000000000075</v>
      </c>
      <c r="N1110">
        <v>-6.0412422453667511E-4</v>
      </c>
      <c r="P1110">
        <v>5.8065260485555818E-2</v>
      </c>
      <c r="R1110">
        <v>1.7303088943981075E-69</v>
      </c>
    </row>
    <row r="1111" spans="1:18" x14ac:dyDescent="0.3">
      <c r="A1111">
        <v>0.96000000000000074</v>
      </c>
      <c r="B1111">
        <v>4.4000000000000002E-6</v>
      </c>
      <c r="D1111">
        <v>70.076263281098662</v>
      </c>
      <c r="F1111">
        <v>5.8200822436420166E-4</v>
      </c>
      <c r="H1111">
        <v>1.7119402135442043E-4</v>
      </c>
      <c r="J1111">
        <v>140246.16429656479</v>
      </c>
      <c r="L1111">
        <v>0.96000000000000074</v>
      </c>
      <c r="N1111">
        <v>-6.0121418341485414E-4</v>
      </c>
      <c r="P1111">
        <v>5.7788415242732698E-2</v>
      </c>
      <c r="R1111">
        <v>8.0513507735193503E-71</v>
      </c>
    </row>
    <row r="1112" spans="1:18" x14ac:dyDescent="0.3">
      <c r="A1112">
        <v>0.95500000000000074</v>
      </c>
      <c r="B1112">
        <v>4.4000000000000002E-6</v>
      </c>
      <c r="D1112">
        <v>70.076263281098662</v>
      </c>
      <c r="F1112">
        <v>5.8200822436420166E-4</v>
      </c>
      <c r="H1112">
        <v>1.7119402135442043E-4</v>
      </c>
      <c r="J1112">
        <v>140246.16429656479</v>
      </c>
      <c r="L1112">
        <v>0.95500000000000074</v>
      </c>
      <c r="N1112">
        <v>-5.9830414229303317E-4</v>
      </c>
      <c r="P1112">
        <v>5.7511454623147412E-2</v>
      </c>
      <c r="R1112">
        <v>3.5278723657091784E-72</v>
      </c>
    </row>
    <row r="1113" spans="1:18" x14ac:dyDescent="0.3">
      <c r="A1113">
        <v>0.95000000000000073</v>
      </c>
      <c r="B1113">
        <v>4.4000000000000002E-6</v>
      </c>
      <c r="D1113">
        <v>70.076263281098662</v>
      </c>
      <c r="F1113">
        <v>5.8200822436420166E-4</v>
      </c>
      <c r="H1113">
        <v>1.7119402135442043E-4</v>
      </c>
      <c r="J1113">
        <v>140246.16429656479</v>
      </c>
      <c r="L1113">
        <v>0.95000000000000073</v>
      </c>
      <c r="N1113">
        <v>-5.9539410117121221E-4</v>
      </c>
      <c r="P1113">
        <v>5.7234377974265206E-2</v>
      </c>
      <c r="R1113">
        <v>1.4536750475530747E-73</v>
      </c>
    </row>
    <row r="1114" spans="1:18" x14ac:dyDescent="0.3">
      <c r="A1114">
        <v>0.94500000000000073</v>
      </c>
      <c r="B1114">
        <v>4.4000000000000002E-6</v>
      </c>
      <c r="D1114">
        <v>70.076263281098662</v>
      </c>
      <c r="F1114">
        <v>5.8200822436420166E-4</v>
      </c>
      <c r="H1114">
        <v>1.7119402135442043E-4</v>
      </c>
      <c r="J1114">
        <v>140246.16429656479</v>
      </c>
      <c r="L1114">
        <v>0.94500000000000073</v>
      </c>
      <c r="N1114">
        <v>-5.9248406004939124E-4</v>
      </c>
      <c r="P1114">
        <v>5.6957184636406186E-2</v>
      </c>
      <c r="R1114">
        <v>5.6250645815838876E-75</v>
      </c>
    </row>
    <row r="1115" spans="1:18" x14ac:dyDescent="0.3">
      <c r="A1115">
        <v>0.94000000000000072</v>
      </c>
      <c r="B1115">
        <v>4.4000000000000002E-6</v>
      </c>
      <c r="D1115">
        <v>70.076263281098662</v>
      </c>
      <c r="F1115">
        <v>5.8200822436420166E-4</v>
      </c>
      <c r="H1115">
        <v>1.7119402135442043E-4</v>
      </c>
      <c r="J1115">
        <v>140246.16429656479</v>
      </c>
      <c r="L1115">
        <v>0.94000000000000072</v>
      </c>
      <c r="N1115">
        <v>-5.8957401892757028E-4</v>
      </c>
      <c r="P1115">
        <v>5.6679873942628828E-2</v>
      </c>
      <c r="R1115">
        <v>2.0411373881549186E-76</v>
      </c>
    </row>
    <row r="1116" spans="1:18" x14ac:dyDescent="0.3">
      <c r="A1116">
        <v>0.93500000000000072</v>
      </c>
      <c r="B1116">
        <v>4.4000000000000002E-6</v>
      </c>
      <c r="D1116">
        <v>70.076263281098662</v>
      </c>
      <c r="F1116">
        <v>5.8200822436420166E-4</v>
      </c>
      <c r="H1116">
        <v>1.7119402135442043E-4</v>
      </c>
      <c r="J1116">
        <v>140246.16429656479</v>
      </c>
      <c r="L1116">
        <v>0.93500000000000072</v>
      </c>
      <c r="N1116">
        <v>-5.8666397780574931E-4</v>
      </c>
      <c r="P1116">
        <v>5.6402445218611055E-2</v>
      </c>
      <c r="R1116">
        <v>6.935268991550265E-78</v>
      </c>
    </row>
    <row r="1117" spans="1:18" x14ac:dyDescent="0.3">
      <c r="A1117">
        <v>0.93000000000000071</v>
      </c>
      <c r="B1117">
        <v>4.4000000000000002E-6</v>
      </c>
      <c r="D1117">
        <v>70.076263281098662</v>
      </c>
      <c r="F1117">
        <v>5.8200822436420166E-4</v>
      </c>
      <c r="H1117">
        <v>1.7119402135442043E-4</v>
      </c>
      <c r="J1117">
        <v>140246.16429656479</v>
      </c>
      <c r="L1117">
        <v>0.93000000000000071</v>
      </c>
      <c r="N1117">
        <v>-5.8375393668392834E-4</v>
      </c>
      <c r="P1117">
        <v>5.6124897782528563E-2</v>
      </c>
      <c r="R1117">
        <v>2.2031544020686686E-79</v>
      </c>
    </row>
    <row r="1118" spans="1:18" x14ac:dyDescent="0.3">
      <c r="A1118">
        <v>0.92500000000000071</v>
      </c>
      <c r="B1118">
        <v>4.4000000000000002E-6</v>
      </c>
      <c r="D1118">
        <v>70.076263281098662</v>
      </c>
      <c r="F1118">
        <v>5.8200822436420166E-4</v>
      </c>
      <c r="H1118">
        <v>1.7119402135442043E-4</v>
      </c>
      <c r="J1118">
        <v>140246.16429656479</v>
      </c>
      <c r="L1118">
        <v>0.92500000000000071</v>
      </c>
      <c r="N1118">
        <v>-5.8084389556210738E-4</v>
      </c>
      <c r="P1118">
        <v>5.5847230944930611E-2</v>
      </c>
      <c r="R1118">
        <v>6.5334586350786263E-81</v>
      </c>
    </row>
    <row r="1119" spans="1:18" x14ac:dyDescent="0.3">
      <c r="A1119">
        <v>0.92000000000000071</v>
      </c>
      <c r="B1119">
        <v>4.4000000000000002E-6</v>
      </c>
      <c r="D1119">
        <v>70.076263281098662</v>
      </c>
      <c r="F1119">
        <v>5.8200822436420166E-4</v>
      </c>
      <c r="H1119">
        <v>1.7119402135442043E-4</v>
      </c>
      <c r="J1119">
        <v>140246.16429656479</v>
      </c>
      <c r="L1119">
        <v>0.92000000000000071</v>
      </c>
      <c r="N1119">
        <v>-5.7793385444028641E-4</v>
      </c>
      <c r="P1119">
        <v>5.5569444008612995E-2</v>
      </c>
      <c r="R1119">
        <v>1.8057815617744141E-82</v>
      </c>
    </row>
    <row r="1120" spans="1:18" x14ac:dyDescent="0.3">
      <c r="A1120">
        <v>0.9150000000000007</v>
      </c>
      <c r="B1120">
        <v>4.4000000000000002E-6</v>
      </c>
      <c r="D1120">
        <v>70.076263281098662</v>
      </c>
      <c r="F1120">
        <v>5.8200822436420166E-4</v>
      </c>
      <c r="H1120">
        <v>1.7119402135442043E-4</v>
      </c>
      <c r="J1120">
        <v>140246.16429656479</v>
      </c>
      <c r="L1120">
        <v>0.9150000000000007</v>
      </c>
      <c r="N1120">
        <v>-5.7502381331846545E-4</v>
      </c>
      <c r="P1120">
        <v>5.5291536268488276E-2</v>
      </c>
      <c r="R1120">
        <v>4.6440728831985206E-84</v>
      </c>
    </row>
    <row r="1121" spans="1:18" x14ac:dyDescent="0.3">
      <c r="A1121">
        <v>0.9100000000000007</v>
      </c>
      <c r="B1121">
        <v>4.4000000000000002E-6</v>
      </c>
      <c r="D1121">
        <v>70.076263281098662</v>
      </c>
      <c r="F1121">
        <v>5.8200822436420166E-4</v>
      </c>
      <c r="H1121">
        <v>1.7119402135442043E-4</v>
      </c>
      <c r="J1121">
        <v>140246.16429656479</v>
      </c>
      <c r="L1121">
        <v>0.9100000000000007</v>
      </c>
      <c r="N1121">
        <v>-5.7211377219664448E-4</v>
      </c>
      <c r="P1121">
        <v>5.5013507011452994E-2</v>
      </c>
      <c r="R1121">
        <v>1.1094620339797563E-85</v>
      </c>
    </row>
    <row r="1122" spans="1:18" x14ac:dyDescent="0.3">
      <c r="A1122">
        <v>0.90500000000000069</v>
      </c>
      <c r="B1122">
        <v>4.4000000000000002E-6</v>
      </c>
      <c r="D1122">
        <v>70.076263281098662</v>
      </c>
      <c r="F1122">
        <v>5.8200822436420166E-4</v>
      </c>
      <c r="H1122">
        <v>1.7119402135442043E-4</v>
      </c>
      <c r="J1122">
        <v>140246.16429656479</v>
      </c>
      <c r="L1122">
        <v>0.90500000000000069</v>
      </c>
      <c r="N1122">
        <v>-5.6920373107482351E-4</v>
      </c>
      <c r="P1122">
        <v>5.4735355516252061E-2</v>
      </c>
      <c r="R1122">
        <v>2.4578345155825894E-87</v>
      </c>
    </row>
    <row r="1123" spans="1:18" x14ac:dyDescent="0.3">
      <c r="A1123">
        <v>0.90000000000000069</v>
      </c>
      <c r="B1123">
        <v>4.4000000000000002E-6</v>
      </c>
      <c r="D1123">
        <v>70.076263281098662</v>
      </c>
      <c r="F1123">
        <v>5.8200822436420166E-4</v>
      </c>
      <c r="H1123">
        <v>1.7119402135442043E-4</v>
      </c>
      <c r="J1123">
        <v>140246.16429656479</v>
      </c>
      <c r="L1123">
        <v>0.90000000000000069</v>
      </c>
      <c r="N1123">
        <v>-5.6629368995300255E-4</v>
      </c>
      <c r="P1123">
        <v>5.4457081053339962E-2</v>
      </c>
      <c r="R1123">
        <v>5.0401724074286861E-89</v>
      </c>
    </row>
    <row r="1124" spans="1:18" x14ac:dyDescent="0.3">
      <c r="A1124">
        <v>0.89500000000000068</v>
      </c>
      <c r="B1124">
        <v>4.4000000000000002E-6</v>
      </c>
      <c r="D1124">
        <v>70.076263281098662</v>
      </c>
      <c r="F1124">
        <v>5.8200822436420166E-4</v>
      </c>
      <c r="H1124">
        <v>1.7119402135442043E-4</v>
      </c>
      <c r="J1124">
        <v>140246.16429656479</v>
      </c>
      <c r="L1124">
        <v>0.89500000000000068</v>
      </c>
      <c r="N1124">
        <v>-5.6338364883118158E-4</v>
      </c>
      <c r="P1124">
        <v>5.4178682884738864E-2</v>
      </c>
      <c r="R1124">
        <v>9.549802428854181E-91</v>
      </c>
    </row>
    <row r="1125" spans="1:18" x14ac:dyDescent="0.3">
      <c r="A1125">
        <v>0.89000000000000068</v>
      </c>
      <c r="B1125">
        <v>4.4000000000000002E-6</v>
      </c>
      <c r="D1125">
        <v>70.076263281098662</v>
      </c>
      <c r="F1125">
        <v>5.8200822436420166E-4</v>
      </c>
      <c r="H1125">
        <v>1.7119402135442043E-4</v>
      </c>
      <c r="J1125">
        <v>140246.16429656479</v>
      </c>
      <c r="L1125">
        <v>0.89000000000000068</v>
      </c>
      <c r="N1125">
        <v>-5.6047360770936062E-4</v>
      </c>
      <c r="P1125">
        <v>5.3900160263893514E-2</v>
      </c>
      <c r="R1125">
        <v>1.668708392114963E-92</v>
      </c>
    </row>
    <row r="1126" spans="1:18" x14ac:dyDescent="0.3">
      <c r="A1126">
        <v>0.88500000000000068</v>
      </c>
      <c r="B1126">
        <v>4.4000000000000002E-6</v>
      </c>
      <c r="D1126">
        <v>70.076263281098662</v>
      </c>
      <c r="F1126">
        <v>5.8200822436420166E-4</v>
      </c>
      <c r="H1126">
        <v>1.7119402135442043E-4</v>
      </c>
      <c r="J1126">
        <v>140246.16429656479</v>
      </c>
      <c r="L1126">
        <v>0.88500000000000068</v>
      </c>
      <c r="N1126">
        <v>-5.5756356658753965E-4</v>
      </c>
      <c r="P1126">
        <v>5.3621512435522774E-2</v>
      </c>
      <c r="R1126">
        <v>2.6838657070515671E-94</v>
      </c>
    </row>
    <row r="1127" spans="1:18" x14ac:dyDescent="0.3">
      <c r="A1127">
        <v>0.88000000000000067</v>
      </c>
      <c r="B1127">
        <v>4.4000000000000002E-6</v>
      </c>
      <c r="D1127">
        <v>70.076263281098662</v>
      </c>
      <c r="F1127">
        <v>5.8200822436420166E-4</v>
      </c>
      <c r="H1127">
        <v>1.7119402135442043E-4</v>
      </c>
      <c r="J1127">
        <v>140246.16429656479</v>
      </c>
      <c r="L1127">
        <v>0.88000000000000067</v>
      </c>
      <c r="N1127">
        <v>-5.5465352546571868E-4</v>
      </c>
      <c r="P1127">
        <v>5.3342738635467749E-2</v>
      </c>
      <c r="R1127">
        <v>3.9652277903977362E-96</v>
      </c>
    </row>
    <row r="1128" spans="1:18" x14ac:dyDescent="0.3">
      <c r="A1128">
        <v>0.87500000000000067</v>
      </c>
      <c r="B1128">
        <v>4.4000000000000002E-6</v>
      </c>
      <c r="D1128">
        <v>70.076263281098662</v>
      </c>
      <c r="F1128">
        <v>5.8200822436420166E-4</v>
      </c>
      <c r="H1128">
        <v>1.7119402135442043E-4</v>
      </c>
      <c r="J1128">
        <v>140246.16429656479</v>
      </c>
      <c r="L1128">
        <v>0.87500000000000067</v>
      </c>
      <c r="N1128">
        <v>-5.5174348434389772E-4</v>
      </c>
      <c r="P1128">
        <v>5.3063838090536344E-2</v>
      </c>
      <c r="R1128">
        <v>5.3704417850984427E-98</v>
      </c>
    </row>
    <row r="1129" spans="1:18" x14ac:dyDescent="0.3">
      <c r="A1129">
        <v>0.87000000000000066</v>
      </c>
      <c r="B1129">
        <v>4.4000000000000002E-6</v>
      </c>
      <c r="D1129">
        <v>70.076263281098662</v>
      </c>
      <c r="F1129">
        <v>5.8200822436420166E-4</v>
      </c>
      <c r="H1129">
        <v>1.7119402135442043E-4</v>
      </c>
      <c r="J1129">
        <v>140246.16429656479</v>
      </c>
      <c r="L1129">
        <v>0.87000000000000066</v>
      </c>
      <c r="N1129">
        <v>-5.4883344322207675E-4</v>
      </c>
      <c r="P1129">
        <v>5.2784810018344321E-2</v>
      </c>
      <c r="R1129">
        <v>6.6537691251977983E-100</v>
      </c>
    </row>
    <row r="1130" spans="1:18" x14ac:dyDescent="0.3">
      <c r="A1130">
        <v>0.86500000000000066</v>
      </c>
      <c r="B1130">
        <v>4.4000000000000002E-6</v>
      </c>
      <c r="D1130">
        <v>70.076263281098662</v>
      </c>
      <c r="F1130">
        <v>5.8200822436420166E-4</v>
      </c>
      <c r="H1130">
        <v>1.7119402135442043E-4</v>
      </c>
      <c r="J1130">
        <v>140246.16429656479</v>
      </c>
      <c r="L1130">
        <v>0.86500000000000066</v>
      </c>
      <c r="N1130">
        <v>-5.4592340210025579E-4</v>
      </c>
      <c r="P1130">
        <v>5.2505653627152454E-2</v>
      </c>
      <c r="R1130">
        <v>7.5248102372860645E-102</v>
      </c>
    </row>
    <row r="1131" spans="1:18" x14ac:dyDescent="0.3">
      <c r="A1131">
        <v>0.86000000000000065</v>
      </c>
      <c r="B1131">
        <v>4.4000000000000002E-6</v>
      </c>
      <c r="D1131">
        <v>70.076263281098662</v>
      </c>
      <c r="F1131">
        <v>5.8200822436420166E-4</v>
      </c>
      <c r="H1131">
        <v>1.7119402135442043E-4</v>
      </c>
      <c r="J1131">
        <v>140246.16429656479</v>
      </c>
      <c r="L1131">
        <v>0.86000000000000065</v>
      </c>
      <c r="N1131">
        <v>-5.4301336097843482E-4</v>
      </c>
      <c r="P1131">
        <v>5.2226368115700028E-2</v>
      </c>
      <c r="R1131">
        <v>7.7503220095034915E-104</v>
      </c>
    </row>
    <row r="1132" spans="1:18" x14ac:dyDescent="0.3">
      <c r="A1132">
        <v>0.85500000000000065</v>
      </c>
      <c r="B1132">
        <v>4.4000000000000002E-6</v>
      </c>
      <c r="D1132">
        <v>70.076263281098662</v>
      </c>
      <c r="F1132">
        <v>5.8200822436420166E-4</v>
      </c>
      <c r="H1132">
        <v>1.7119402135442043E-4</v>
      </c>
      <c r="J1132">
        <v>140246.16429656479</v>
      </c>
      <c r="L1132">
        <v>0.85500000000000065</v>
      </c>
      <c r="N1132">
        <v>-5.4010331985661385E-4</v>
      </c>
      <c r="P1132">
        <v>5.1946952673034223E-2</v>
      </c>
      <c r="R1132">
        <v>7.2533323348940441E-106</v>
      </c>
    </row>
    <row r="1133" spans="1:18" x14ac:dyDescent="0.3">
      <c r="A1133">
        <v>0.85000000000000064</v>
      </c>
      <c r="B1133">
        <v>4.4000000000000002E-6</v>
      </c>
      <c r="D1133">
        <v>70.076263281098662</v>
      </c>
      <c r="F1133">
        <v>5.8200822436420166E-4</v>
      </c>
      <c r="H1133">
        <v>1.7119402135442043E-4</v>
      </c>
      <c r="J1133">
        <v>140246.16429656479</v>
      </c>
      <c r="L1133">
        <v>0.85000000000000064</v>
      </c>
      <c r="N1133">
        <v>-5.3719327873479289E-4</v>
      </c>
      <c r="P1133">
        <v>5.1667406478335537E-2</v>
      </c>
      <c r="R1133">
        <v>6.1534161326647247E-108</v>
      </c>
    </row>
    <row r="1134" spans="1:18" x14ac:dyDescent="0.3">
      <c r="A1134">
        <v>0.84500000000000064</v>
      </c>
      <c r="B1134">
        <v>4.4000000000000002E-6</v>
      </c>
      <c r="D1134">
        <v>70.076263281098662</v>
      </c>
      <c r="F1134">
        <v>5.8200822436420166E-4</v>
      </c>
      <c r="H1134">
        <v>1.7119402135442043E-4</v>
      </c>
      <c r="J1134">
        <v>140246.16429656479</v>
      </c>
      <c r="L1134">
        <v>0.84500000000000064</v>
      </c>
      <c r="N1134">
        <v>-5.3428323761297192E-4</v>
      </c>
      <c r="P1134">
        <v>5.138772870073894E-2</v>
      </c>
      <c r="R1134">
        <v>4.7205437861822499E-110</v>
      </c>
    </row>
    <row r="1135" spans="1:18" x14ac:dyDescent="0.3">
      <c r="A1135">
        <v>0.84000000000000064</v>
      </c>
      <c r="B1135">
        <v>4.4000000000000002E-6</v>
      </c>
      <c r="D1135">
        <v>70.076263281098662</v>
      </c>
      <c r="F1135">
        <v>5.8200822436420166E-4</v>
      </c>
      <c r="H1135">
        <v>1.7119402135442043E-4</v>
      </c>
      <c r="J1135">
        <v>140246.16429656479</v>
      </c>
      <c r="L1135">
        <v>0.84000000000000064</v>
      </c>
      <c r="N1135">
        <v>-5.3137319649115096E-4</v>
      </c>
      <c r="P1135">
        <v>5.1107918499150806E-2</v>
      </c>
      <c r="R1135">
        <v>3.2663954614784247E-112</v>
      </c>
    </row>
    <row r="1136" spans="1:18" x14ac:dyDescent="0.3">
      <c r="A1136">
        <v>0.83500000000000063</v>
      </c>
      <c r="B1136">
        <v>4.4000000000000002E-6</v>
      </c>
      <c r="D1136">
        <v>70.076263281098662</v>
      </c>
      <c r="F1136">
        <v>5.8200822436420166E-4</v>
      </c>
      <c r="H1136">
        <v>1.7119402135442043E-4</v>
      </c>
      <c r="J1136">
        <v>140246.16429656479</v>
      </c>
      <c r="L1136">
        <v>0.83500000000000063</v>
      </c>
      <c r="N1136">
        <v>-5.2846315536932999E-4</v>
      </c>
      <c r="P1136">
        <v>5.0827975022061302E-2</v>
      </c>
      <c r="R1136">
        <v>2.0333731103475358E-114</v>
      </c>
    </row>
    <row r="1137" spans="1:18" x14ac:dyDescent="0.3">
      <c r="A1137">
        <v>0.83000000000000063</v>
      </c>
      <c r="B1137">
        <v>4.4000000000000002E-6</v>
      </c>
      <c r="D1137">
        <v>70.076263281098662</v>
      </c>
      <c r="F1137">
        <v>5.8200822436420166E-4</v>
      </c>
      <c r="H1137">
        <v>1.7119402135442043E-4</v>
      </c>
      <c r="J1137">
        <v>140246.16429656479</v>
      </c>
      <c r="L1137">
        <v>0.83000000000000063</v>
      </c>
      <c r="N1137">
        <v>-5.2555311424750902E-4</v>
      </c>
      <c r="P1137">
        <v>5.0547897407352209E-2</v>
      </c>
      <c r="R1137">
        <v>1.135724481734513E-116</v>
      </c>
    </row>
    <row r="1138" spans="1:18" x14ac:dyDescent="0.3">
      <c r="A1138">
        <v>0.82500000000000062</v>
      </c>
      <c r="B1138">
        <v>4.4000000000000002E-6</v>
      </c>
      <c r="D1138">
        <v>70.076263281098662</v>
      </c>
      <c r="F1138">
        <v>5.8200822436420166E-4</v>
      </c>
      <c r="H1138">
        <v>1.7119402135442043E-4</v>
      </c>
      <c r="J1138">
        <v>140246.16429656479</v>
      </c>
      <c r="L1138">
        <v>0.82500000000000062</v>
      </c>
      <c r="N1138">
        <v>-5.2264307312568806E-4</v>
      </c>
      <c r="P1138">
        <v>5.02676847821001E-2</v>
      </c>
      <c r="R1138">
        <v>5.6759254845863613E-119</v>
      </c>
    </row>
    <row r="1139" spans="1:18" x14ac:dyDescent="0.3">
      <c r="A1139">
        <v>0.82000000000000062</v>
      </c>
      <c r="B1139">
        <v>4.4000000000000002E-6</v>
      </c>
      <c r="D1139">
        <v>70.076263281098662</v>
      </c>
      <c r="F1139">
        <v>5.8200822436420166E-4</v>
      </c>
      <c r="H1139">
        <v>1.7119402135442043E-4</v>
      </c>
      <c r="J1139">
        <v>140246.16429656479</v>
      </c>
      <c r="L1139">
        <v>0.82000000000000062</v>
      </c>
      <c r="N1139">
        <v>-5.1973303200386709E-4</v>
      </c>
      <c r="P1139">
        <v>4.9987336262374546E-2</v>
      </c>
      <c r="R1139">
        <v>2.5308779955855199E-121</v>
      </c>
    </row>
    <row r="1140" spans="1:18" x14ac:dyDescent="0.3">
      <c r="A1140">
        <v>0.81500000000000061</v>
      </c>
      <c r="B1140">
        <v>4.4000000000000002E-6</v>
      </c>
      <c r="D1140">
        <v>70.076263281098662</v>
      </c>
      <c r="F1140">
        <v>5.8200822436420166E-4</v>
      </c>
      <c r="H1140">
        <v>1.7119402135442043E-4</v>
      </c>
      <c r="J1140">
        <v>140246.16429656479</v>
      </c>
      <c r="L1140">
        <v>0.81500000000000061</v>
      </c>
      <c r="N1140">
        <v>-5.1682299088204613E-4</v>
      </c>
      <c r="P1140">
        <v>4.9706850953031345E-2</v>
      </c>
      <c r="R1140">
        <v>1.0039245725591043E-123</v>
      </c>
    </row>
    <row r="1141" spans="1:18" x14ac:dyDescent="0.3">
      <c r="A1141">
        <v>0.81000000000000061</v>
      </c>
      <c r="B1141">
        <v>4.4000000000000002E-6</v>
      </c>
      <c r="D1141">
        <v>70.076263281098662</v>
      </c>
      <c r="F1141">
        <v>5.8200822436420166E-4</v>
      </c>
      <c r="H1141">
        <v>1.7119402135442043E-4</v>
      </c>
      <c r="J1141">
        <v>140246.16429656479</v>
      </c>
      <c r="L1141">
        <v>0.81000000000000061</v>
      </c>
      <c r="N1141">
        <v>-5.1391294976022516E-4</v>
      </c>
      <c r="P1141">
        <v>4.9426227947500602E-2</v>
      </c>
      <c r="R1141">
        <v>3.5319202033093914E-126</v>
      </c>
    </row>
    <row r="1142" spans="1:18" x14ac:dyDescent="0.3">
      <c r="A1142">
        <v>0.8050000000000006</v>
      </c>
      <c r="B1142">
        <v>4.4000000000000002E-6</v>
      </c>
      <c r="D1142">
        <v>70.076263281098662</v>
      </c>
      <c r="F1142">
        <v>5.8200822436420166E-4</v>
      </c>
      <c r="H1142">
        <v>1.7119402135442043E-4</v>
      </c>
      <c r="J1142">
        <v>140246.16429656479</v>
      </c>
      <c r="L1142">
        <v>0.8050000000000006</v>
      </c>
      <c r="N1142">
        <v>-5.1100290863840419E-4</v>
      </c>
      <c r="P1142">
        <v>4.914546632756938E-2</v>
      </c>
      <c r="R1142">
        <v>1.0986104822282952E-128</v>
      </c>
    </row>
    <row r="1143" spans="1:18" x14ac:dyDescent="0.3">
      <c r="A1143">
        <v>0.8000000000000006</v>
      </c>
      <c r="B1143">
        <v>4.4000000000000002E-6</v>
      </c>
      <c r="D1143">
        <v>70.076263281098662</v>
      </c>
      <c r="F1143">
        <v>5.8200822436420166E-4</v>
      </c>
      <c r="H1143">
        <v>1.7119402135442043E-4</v>
      </c>
      <c r="J1143">
        <v>140246.16429656479</v>
      </c>
      <c r="L1143">
        <v>0.8000000000000006</v>
      </c>
      <c r="N1143">
        <v>-5.0809286751658323E-4</v>
      </c>
      <c r="P1143">
        <v>4.8864565163158992E-2</v>
      </c>
      <c r="R1143">
        <v>3.0116172984564079E-131</v>
      </c>
    </row>
    <row r="1144" spans="1:18" x14ac:dyDescent="0.3">
      <c r="A1144">
        <v>0.7950000000000006</v>
      </c>
      <c r="B1144">
        <v>4.4000000000000002E-6</v>
      </c>
      <c r="D1144">
        <v>70.076263281098662</v>
      </c>
      <c r="F1144">
        <v>5.8200822436420166E-4</v>
      </c>
      <c r="H1144">
        <v>1.7119402135442043E-4</v>
      </c>
      <c r="J1144">
        <v>140246.16429656479</v>
      </c>
      <c r="L1144">
        <v>0.7950000000000006</v>
      </c>
      <c r="N1144">
        <v>-5.0518282639476226E-4</v>
      </c>
      <c r="P1144">
        <v>4.8583523512096445E-2</v>
      </c>
      <c r="R1144">
        <v>7.2516113647401453E-134</v>
      </c>
    </row>
    <row r="1145" spans="1:18" x14ac:dyDescent="0.3">
      <c r="A1145">
        <v>0.79000000000000059</v>
      </c>
      <c r="B1145">
        <v>4.4000000000000002E-6</v>
      </c>
      <c r="D1145">
        <v>70.076263281098662</v>
      </c>
      <c r="F1145">
        <v>5.8200822436420166E-4</v>
      </c>
      <c r="H1145">
        <v>1.7119402135442043E-4</v>
      </c>
      <c r="J1145">
        <v>140246.16429656479</v>
      </c>
      <c r="L1145">
        <v>0.79000000000000059</v>
      </c>
      <c r="N1145">
        <v>-5.022727852729413E-4</v>
      </c>
      <c r="P1145">
        <v>4.8302340419880116E-2</v>
      </c>
      <c r="R1145">
        <v>1.5284707366332621E-136</v>
      </c>
    </row>
    <row r="1146" spans="1:18" x14ac:dyDescent="0.3">
      <c r="A1146">
        <v>0.78500000000000059</v>
      </c>
      <c r="B1146">
        <v>4.4000000000000002E-6</v>
      </c>
      <c r="D1146">
        <v>70.076263281098662</v>
      </c>
      <c r="F1146">
        <v>5.8200822436420166E-4</v>
      </c>
      <c r="H1146">
        <v>1.7119402135442043E-4</v>
      </c>
      <c r="J1146">
        <v>140246.16429656479</v>
      </c>
      <c r="L1146">
        <v>0.78500000000000059</v>
      </c>
      <c r="N1146">
        <v>-4.9936274415112033E-4</v>
      </c>
      <c r="P1146">
        <v>4.8021014919439393E-2</v>
      </c>
      <c r="R1146">
        <v>2.8101446621485627E-139</v>
      </c>
    </row>
    <row r="1147" spans="1:18" x14ac:dyDescent="0.3">
      <c r="A1147">
        <v>0.78000000000000058</v>
      </c>
      <c r="B1147">
        <v>4.4000000000000002E-6</v>
      </c>
      <c r="D1147">
        <v>70.076263281098662</v>
      </c>
      <c r="F1147">
        <v>5.8200822436420166E-4</v>
      </c>
      <c r="H1147">
        <v>1.7119402135442043E-4</v>
      </c>
      <c r="J1147">
        <v>140246.16429656479</v>
      </c>
      <c r="L1147">
        <v>0.78000000000000058</v>
      </c>
      <c r="N1147">
        <v>-4.9645270302929936E-4</v>
      </c>
      <c r="P1147">
        <v>4.7739546030887973E-2</v>
      </c>
      <c r="R1147">
        <v>4.4901441083810114E-142</v>
      </c>
    </row>
    <row r="1148" spans="1:18" x14ac:dyDescent="0.3">
      <c r="A1148">
        <v>0.77500000000000058</v>
      </c>
      <c r="B1148">
        <v>4.4000000000000002E-6</v>
      </c>
      <c r="D1148">
        <v>70.076263281098662</v>
      </c>
      <c r="F1148">
        <v>5.8200822436420166E-4</v>
      </c>
      <c r="H1148">
        <v>1.7119402135442043E-4</v>
      </c>
      <c r="J1148">
        <v>140246.16429656479</v>
      </c>
      <c r="L1148">
        <v>0.77500000000000058</v>
      </c>
      <c r="N1148">
        <v>-4.935426619074784E-4</v>
      </c>
      <c r="P1148">
        <v>4.7457932761270798E-2</v>
      </c>
      <c r="R1148">
        <v>6.2117096359779898E-145</v>
      </c>
    </row>
    <row r="1149" spans="1:18" x14ac:dyDescent="0.3">
      <c r="A1149">
        <v>0.77000000000000057</v>
      </c>
      <c r="B1149">
        <v>4.4000000000000002E-6</v>
      </c>
      <c r="D1149">
        <v>70.076263281098662</v>
      </c>
      <c r="F1149">
        <v>5.8200822436420166E-4</v>
      </c>
      <c r="H1149">
        <v>1.7119402135442043E-4</v>
      </c>
      <c r="J1149">
        <v>140246.16429656479</v>
      </c>
      <c r="L1149">
        <v>0.77000000000000057</v>
      </c>
      <c r="N1149">
        <v>-4.9063262078565743E-4</v>
      </c>
      <c r="P1149">
        <v>4.7176174104304275E-2</v>
      </c>
      <c r="R1149">
        <v>7.4111663312853964E-148</v>
      </c>
    </row>
    <row r="1150" spans="1:18" x14ac:dyDescent="0.3">
      <c r="A1150">
        <v>0.76500000000000057</v>
      </c>
      <c r="B1150">
        <v>4.4000000000000002E-6</v>
      </c>
      <c r="D1150">
        <v>70.076263281098662</v>
      </c>
      <c r="F1150">
        <v>5.8200822436420166E-4</v>
      </c>
      <c r="H1150">
        <v>1.7119402135442043E-4</v>
      </c>
      <c r="J1150">
        <v>140246.16429656479</v>
      </c>
      <c r="L1150">
        <v>0.76500000000000057</v>
      </c>
      <c r="N1150">
        <v>-4.8772257966383647E-4</v>
      </c>
      <c r="P1150">
        <v>4.689426904010964E-2</v>
      </c>
      <c r="R1150">
        <v>7.5951394535593857E-151</v>
      </c>
    </row>
    <row r="1151" spans="1:18" x14ac:dyDescent="0.3">
      <c r="A1151">
        <v>0.76000000000000056</v>
      </c>
      <c r="B1151">
        <v>4.4000000000000002E-6</v>
      </c>
      <c r="D1151">
        <v>70.076263281098662</v>
      </c>
      <c r="F1151">
        <v>5.8200822436420166E-4</v>
      </c>
      <c r="H1151">
        <v>1.7119402135442043E-4</v>
      </c>
      <c r="J1151">
        <v>140246.16429656479</v>
      </c>
      <c r="L1151">
        <v>0.76000000000000056</v>
      </c>
      <c r="N1151">
        <v>-4.8481253854201545E-4</v>
      </c>
      <c r="P1151">
        <v>4.6612216534939209E-2</v>
      </c>
      <c r="R1151">
        <v>6.6580903318089246E-154</v>
      </c>
    </row>
    <row r="1152" spans="1:18" x14ac:dyDescent="0.3">
      <c r="A1152">
        <v>0.75500000000000056</v>
      </c>
      <c r="B1152">
        <v>4.4000000000000002E-6</v>
      </c>
      <c r="D1152">
        <v>70.076263281098662</v>
      </c>
      <c r="F1152">
        <v>5.8200822436420166E-4</v>
      </c>
      <c r="H1152">
        <v>1.7119402135442043E-4</v>
      </c>
      <c r="J1152">
        <v>140246.16429656479</v>
      </c>
      <c r="L1152">
        <v>0.75500000000000056</v>
      </c>
      <c r="N1152">
        <v>-4.8190249742019443E-4</v>
      </c>
      <c r="P1152">
        <v>4.6330015540895227E-2</v>
      </c>
      <c r="R1152">
        <v>4.9711711993951717E-157</v>
      </c>
    </row>
    <row r="1153" spans="1:18" x14ac:dyDescent="0.3">
      <c r="A1153">
        <v>0.75000000000000056</v>
      </c>
      <c r="B1153">
        <v>4.4000000000000002E-6</v>
      </c>
      <c r="D1153">
        <v>70.076263281098662</v>
      </c>
      <c r="F1153">
        <v>5.8200822436420166E-4</v>
      </c>
      <c r="H1153">
        <v>1.7119402135442043E-4</v>
      </c>
      <c r="J1153">
        <v>140246.16429656479</v>
      </c>
      <c r="L1153">
        <v>0.75000000000000056</v>
      </c>
      <c r="N1153">
        <v>-4.7899245629837341E-4</v>
      </c>
      <c r="P1153">
        <v>4.604766499564121E-2</v>
      </c>
      <c r="R1153">
        <v>3.1472424842245339E-160</v>
      </c>
    </row>
    <row r="1154" spans="1:18" x14ac:dyDescent="0.3">
      <c r="A1154">
        <v>0.74500000000000055</v>
      </c>
      <c r="B1154">
        <v>4.4000000000000002E-6</v>
      </c>
      <c r="D1154">
        <v>70.076263281098662</v>
      </c>
      <c r="F1154">
        <v>5.8200822436420166E-4</v>
      </c>
      <c r="H1154">
        <v>1.7119402135442043E-4</v>
      </c>
      <c r="J1154">
        <v>140246.16429656479</v>
      </c>
      <c r="L1154">
        <v>0.74500000000000055</v>
      </c>
      <c r="N1154">
        <v>-4.7608241517655238E-4</v>
      </c>
      <c r="P1154">
        <v>4.5765163822105347E-2</v>
      </c>
      <c r="R1154">
        <v>1.6817673263245431E-163</v>
      </c>
    </row>
    <row r="1155" spans="1:18" x14ac:dyDescent="0.3">
      <c r="A1155">
        <v>0.74000000000000055</v>
      </c>
      <c r="B1155">
        <v>4.4000000000000002E-6</v>
      </c>
      <c r="D1155">
        <v>70.076263281098662</v>
      </c>
      <c r="F1155">
        <v>5.8200822436420166E-4</v>
      </c>
      <c r="H1155">
        <v>1.7119402135442043E-4</v>
      </c>
      <c r="J1155">
        <v>140246.16429656479</v>
      </c>
      <c r="L1155">
        <v>0.74000000000000055</v>
      </c>
      <c r="N1155">
        <v>-4.7317237405473136E-4</v>
      </c>
      <c r="P1155">
        <v>4.5482510928175818E-2</v>
      </c>
      <c r="R1155">
        <v>7.549172887096941E-167</v>
      </c>
    </row>
    <row r="1156" spans="1:18" x14ac:dyDescent="0.3">
      <c r="A1156">
        <v>0.73500000000000054</v>
      </c>
      <c r="B1156">
        <v>4.4000000000000002E-6</v>
      </c>
      <c r="D1156">
        <v>70.076263281098662</v>
      </c>
      <c r="F1156">
        <v>5.8200822436420166E-4</v>
      </c>
      <c r="H1156">
        <v>1.7119402135442043E-4</v>
      </c>
      <c r="J1156">
        <v>140246.16429656479</v>
      </c>
      <c r="L1156">
        <v>0.73500000000000054</v>
      </c>
      <c r="N1156">
        <v>-4.7026233293291034E-4</v>
      </c>
      <c r="P1156">
        <v>4.5199705206387733E-2</v>
      </c>
      <c r="R1156">
        <v>2.8326511444068567E-170</v>
      </c>
    </row>
    <row r="1157" spans="1:18" x14ac:dyDescent="0.3">
      <c r="A1157">
        <v>0.73000000000000054</v>
      </c>
      <c r="B1157">
        <v>4.4000000000000002E-6</v>
      </c>
      <c r="D1157">
        <v>70.076263281098662</v>
      </c>
      <c r="F1157">
        <v>5.8200822436420166E-4</v>
      </c>
      <c r="H1157">
        <v>1.7119402135442043E-4</v>
      </c>
      <c r="J1157">
        <v>140246.16429656479</v>
      </c>
      <c r="L1157">
        <v>0.73000000000000054</v>
      </c>
      <c r="N1157">
        <v>-4.6735229181108932E-4</v>
      </c>
      <c r="P1157">
        <v>4.4916745533601303E-2</v>
      </c>
      <c r="R1157">
        <v>8.8396612055466761E-174</v>
      </c>
    </row>
    <row r="1158" spans="1:18" x14ac:dyDescent="0.3">
      <c r="A1158">
        <v>0.72500000000000053</v>
      </c>
      <c r="B1158">
        <v>4.4000000000000002E-6</v>
      </c>
      <c r="D1158">
        <v>70.076263281098662</v>
      </c>
      <c r="F1158">
        <v>5.8200822436420166E-4</v>
      </c>
      <c r="H1158">
        <v>1.7119402135442043E-4</v>
      </c>
      <c r="J1158">
        <v>140246.16429656479</v>
      </c>
      <c r="L1158">
        <v>0.72500000000000053</v>
      </c>
      <c r="N1158">
        <v>-4.644422506892683E-4</v>
      </c>
      <c r="P1158">
        <v>4.4633630770671104E-2</v>
      </c>
      <c r="R1158">
        <v>2.2821200012377634E-177</v>
      </c>
    </row>
    <row r="1159" spans="1:18" x14ac:dyDescent="0.3">
      <c r="A1159">
        <v>0.72000000000000053</v>
      </c>
      <c r="B1159">
        <v>4.4000000000000002E-6</v>
      </c>
      <c r="D1159">
        <v>70.076263281098662</v>
      </c>
      <c r="F1159">
        <v>5.8200822436420166E-4</v>
      </c>
      <c r="H1159">
        <v>1.7119402135442043E-4</v>
      </c>
      <c r="J1159">
        <v>140246.16429656479</v>
      </c>
      <c r="L1159">
        <v>0.72000000000000053</v>
      </c>
      <c r="N1159">
        <v>-4.6153220956744728E-4</v>
      </c>
      <c r="P1159">
        <v>4.4350359762105995E-2</v>
      </c>
      <c r="R1159">
        <v>4.8476688120544618E-181</v>
      </c>
    </row>
    <row r="1160" spans="1:18" x14ac:dyDescent="0.3">
      <c r="A1160">
        <v>0.71500000000000052</v>
      </c>
      <c r="B1160">
        <v>4.4000000000000002E-6</v>
      </c>
      <c r="D1160">
        <v>70.076263281098662</v>
      </c>
      <c r="F1160">
        <v>5.8200822436420166E-4</v>
      </c>
      <c r="H1160">
        <v>1.7119402135442043E-4</v>
      </c>
      <c r="J1160">
        <v>140246.16429656479</v>
      </c>
      <c r="L1160">
        <v>0.71500000000000052</v>
      </c>
      <c r="N1160">
        <v>-4.5862216844562626E-4</v>
      </c>
      <c r="P1160">
        <v>4.4066931335719338E-2</v>
      </c>
      <c r="R1160">
        <v>8.4249372276490578E-185</v>
      </c>
    </row>
    <row r="1161" spans="1:18" x14ac:dyDescent="0.3">
      <c r="A1161">
        <v>0.71000000000000052</v>
      </c>
      <c r="B1161">
        <v>4.4000000000000002E-6</v>
      </c>
      <c r="D1161">
        <v>70.076263281098662</v>
      </c>
      <c r="F1161">
        <v>5.8200822436420166E-4</v>
      </c>
      <c r="H1161">
        <v>1.7119402135442043E-4</v>
      </c>
      <c r="J1161">
        <v>140246.16429656479</v>
      </c>
      <c r="L1161">
        <v>0.71000000000000052</v>
      </c>
      <c r="N1161">
        <v>-4.5571212732380524E-4</v>
      </c>
      <c r="P1161">
        <v>4.3783344302269364E-2</v>
      </c>
      <c r="R1161">
        <v>1.1909682273674449E-188</v>
      </c>
    </row>
    <row r="1162" spans="1:18" x14ac:dyDescent="0.3">
      <c r="A1162">
        <v>0.70500000000000052</v>
      </c>
      <c r="B1162">
        <v>4.4000000000000002E-6</v>
      </c>
      <c r="D1162">
        <v>70.076263281098662</v>
      </c>
      <c r="F1162">
        <v>5.8200822436420166E-4</v>
      </c>
      <c r="H1162">
        <v>1.7119402135442043E-4</v>
      </c>
      <c r="J1162">
        <v>140246.16429656479</v>
      </c>
      <c r="L1162">
        <v>0.70500000000000052</v>
      </c>
      <c r="N1162">
        <v>-4.5280208620198422E-4</v>
      </c>
      <c r="P1162">
        <v>4.3499597455089072E-2</v>
      </c>
      <c r="R1162">
        <v>1.3611408692892658E-192</v>
      </c>
    </row>
    <row r="1163" spans="1:18" x14ac:dyDescent="0.3">
      <c r="A1163">
        <v>0.70000000000000051</v>
      </c>
      <c r="B1163">
        <v>4.4000000000000002E-6</v>
      </c>
      <c r="D1163">
        <v>70.076263281098662</v>
      </c>
      <c r="F1163">
        <v>5.8200822436420166E-4</v>
      </c>
      <c r="H1163">
        <v>1.7119402135442043E-4</v>
      </c>
      <c r="J1163">
        <v>140246.16429656479</v>
      </c>
      <c r="L1163">
        <v>0.70000000000000051</v>
      </c>
      <c r="N1163">
        <v>-4.498920450801632E-4</v>
      </c>
      <c r="P1163">
        <v>4.32156895697055E-2</v>
      </c>
      <c r="R1163">
        <v>1.2498279159018075E-196</v>
      </c>
    </row>
    <row r="1164" spans="1:18" x14ac:dyDescent="0.3">
      <c r="A1164">
        <v>0.69500000000000051</v>
      </c>
      <c r="B1164">
        <v>4.4000000000000002E-6</v>
      </c>
      <c r="D1164">
        <v>70.076263281098662</v>
      </c>
      <c r="F1164">
        <v>5.8200822436420166E-4</v>
      </c>
      <c r="H1164">
        <v>1.7119402135442043E-4</v>
      </c>
      <c r="J1164">
        <v>140246.16429656479</v>
      </c>
      <c r="L1164">
        <v>0.69500000000000051</v>
      </c>
      <c r="N1164">
        <v>-4.4698200395834218E-4</v>
      </c>
      <c r="P1164">
        <v>4.2931619403447856E-2</v>
      </c>
      <c r="R1164">
        <v>9.1604665408395338E-201</v>
      </c>
    </row>
    <row r="1165" spans="1:18" x14ac:dyDescent="0.3">
      <c r="A1165">
        <v>0.6900000000000005</v>
      </c>
      <c r="B1165">
        <v>4.4000000000000002E-6</v>
      </c>
      <c r="D1165">
        <v>70.076263281098662</v>
      </c>
      <c r="F1165">
        <v>5.8200822436420166E-4</v>
      </c>
      <c r="H1165">
        <v>1.7119402135442043E-4</v>
      </c>
      <c r="J1165">
        <v>140246.16429656479</v>
      </c>
      <c r="L1165">
        <v>0.6900000000000005</v>
      </c>
      <c r="N1165">
        <v>-4.4407196283652116E-4</v>
      </c>
      <c r="P1165">
        <v>4.2647385695044185E-2</v>
      </c>
      <c r="R1165">
        <v>5.3232638159336459E-205</v>
      </c>
    </row>
    <row r="1166" spans="1:18" x14ac:dyDescent="0.3">
      <c r="A1166">
        <v>0.6850000000000005</v>
      </c>
      <c r="B1166">
        <v>4.4000000000000002E-6</v>
      </c>
      <c r="D1166">
        <v>70.076263281098662</v>
      </c>
      <c r="F1166">
        <v>5.8200822436420166E-4</v>
      </c>
      <c r="H1166">
        <v>1.7119402135442043E-4</v>
      </c>
      <c r="J1166">
        <v>140246.16429656479</v>
      </c>
      <c r="L1166">
        <v>0.6850000000000005</v>
      </c>
      <c r="N1166">
        <v>-4.4116192171470014E-4</v>
      </c>
      <c r="P1166">
        <v>4.2362987164206029E-2</v>
      </c>
      <c r="R1166">
        <v>2.4355469754594622E-209</v>
      </c>
    </row>
    <row r="1167" spans="1:18" x14ac:dyDescent="0.3">
      <c r="A1167">
        <v>0.68000000000000049</v>
      </c>
      <c r="B1167">
        <v>4.4000000000000002E-6</v>
      </c>
      <c r="D1167">
        <v>70.076263281098662</v>
      </c>
      <c r="F1167">
        <v>5.8200822436420166E-4</v>
      </c>
      <c r="H1167">
        <v>1.7119402135442043E-4</v>
      </c>
      <c r="J1167">
        <v>140246.16429656479</v>
      </c>
      <c r="L1167">
        <v>0.68000000000000049</v>
      </c>
      <c r="N1167">
        <v>-4.3825188059287912E-4</v>
      </c>
      <c r="P1167">
        <v>4.2078422511200801E-2</v>
      </c>
      <c r="R1167">
        <v>8.7101532318730264E-214</v>
      </c>
    </row>
    <row r="1168" spans="1:18" x14ac:dyDescent="0.3">
      <c r="A1168">
        <v>0.67500000000000049</v>
      </c>
      <c r="B1168">
        <v>4.4000000000000002E-6</v>
      </c>
      <c r="D1168">
        <v>70.076263281098662</v>
      </c>
      <c r="F1168">
        <v>5.8200822436420166E-4</v>
      </c>
      <c r="H1168">
        <v>1.7119402135442043E-4</v>
      </c>
      <c r="J1168">
        <v>140246.16429656479</v>
      </c>
      <c r="L1168">
        <v>0.67500000000000049</v>
      </c>
      <c r="N1168">
        <v>-4.353418394710581E-4</v>
      </c>
      <c r="P1168">
        <v>4.1793690416411282E-2</v>
      </c>
      <c r="R1168">
        <v>2.4165791690452048E-218</v>
      </c>
    </row>
    <row r="1169" spans="1:18" x14ac:dyDescent="0.3">
      <c r="A1169">
        <v>0.67000000000000048</v>
      </c>
      <c r="B1169">
        <v>4.4000000000000002E-6</v>
      </c>
      <c r="D1169">
        <v>70.076263281098662</v>
      </c>
      <c r="F1169">
        <v>5.8200822436420166E-4</v>
      </c>
      <c r="H1169">
        <v>1.7119402135442043E-4</v>
      </c>
      <c r="J1169">
        <v>140246.16429656479</v>
      </c>
      <c r="L1169">
        <v>0.67000000000000048</v>
      </c>
      <c r="N1169">
        <v>-4.3243179834923708E-4</v>
      </c>
      <c r="P1169">
        <v>4.1508789539881789E-2</v>
      </c>
      <c r="R1169">
        <v>5.1610096415116672E-223</v>
      </c>
    </row>
    <row r="1170" spans="1:18" x14ac:dyDescent="0.3">
      <c r="A1170">
        <v>0.66500000000000048</v>
      </c>
      <c r="B1170">
        <v>4.4000000000000002E-6</v>
      </c>
      <c r="D1170">
        <v>70.076263281098662</v>
      </c>
      <c r="F1170">
        <v>5.8200822436420166E-4</v>
      </c>
      <c r="H1170">
        <v>1.7119402135442043E-4</v>
      </c>
      <c r="J1170">
        <v>140246.16429656479</v>
      </c>
      <c r="L1170">
        <v>0.66500000000000048</v>
      </c>
      <c r="N1170">
        <v>-4.2952175722741606E-4</v>
      </c>
      <c r="P1170">
        <v>4.122371852085055E-2</v>
      </c>
      <c r="R1170">
        <v>8.4161008440573244E-228</v>
      </c>
    </row>
    <row r="1171" spans="1:18" x14ac:dyDescent="0.3">
      <c r="A1171">
        <v>0.66000000000000048</v>
      </c>
      <c r="B1171">
        <v>4.4000000000000002E-6</v>
      </c>
      <c r="D1171">
        <v>70.076263281098662</v>
      </c>
      <c r="F1171">
        <v>5.8200822436420166E-4</v>
      </c>
      <c r="H1171">
        <v>1.7119402135442043E-4</v>
      </c>
      <c r="J1171">
        <v>140246.16429656479</v>
      </c>
      <c r="L1171">
        <v>0.66000000000000048</v>
      </c>
      <c r="N1171">
        <v>-4.2661171610559504E-4</v>
      </c>
      <c r="P1171">
        <v>4.0938475977267741E-2</v>
      </c>
      <c r="R1171">
        <v>1.039154037327545E-232</v>
      </c>
    </row>
    <row r="1172" spans="1:18" x14ac:dyDescent="0.3">
      <c r="A1172">
        <v>0.65500000000000047</v>
      </c>
      <c r="B1172">
        <v>4.4000000000000002E-6</v>
      </c>
      <c r="D1172">
        <v>70.076263281098662</v>
      </c>
      <c r="F1172">
        <v>5.8200822436420166E-4</v>
      </c>
      <c r="H1172">
        <v>1.7119402135442043E-4</v>
      </c>
      <c r="J1172">
        <v>140246.16429656479</v>
      </c>
      <c r="L1172">
        <v>0.65500000000000047</v>
      </c>
      <c r="N1172">
        <v>-4.2370167498377402E-4</v>
      </c>
      <c r="P1172">
        <v>4.065306050529853E-2</v>
      </c>
      <c r="R1172">
        <v>9.6305604537692464E-238</v>
      </c>
    </row>
    <row r="1173" spans="1:18" x14ac:dyDescent="0.3">
      <c r="A1173">
        <v>0.65000000000000047</v>
      </c>
      <c r="B1173">
        <v>4.4000000000000002E-6</v>
      </c>
      <c r="D1173">
        <v>70.076263281098662</v>
      </c>
      <c r="F1173">
        <v>5.8200822436420166E-4</v>
      </c>
      <c r="H1173">
        <v>1.7119402135442043E-4</v>
      </c>
      <c r="J1173">
        <v>140246.16429656479</v>
      </c>
      <c r="L1173">
        <v>0.65000000000000047</v>
      </c>
      <c r="N1173">
        <v>-4.20791633861953E-4</v>
      </c>
      <c r="P1173">
        <v>4.0367470678810767E-2</v>
      </c>
      <c r="R1173">
        <v>6.6387915120482043E-243</v>
      </c>
    </row>
    <row r="1174" spans="1:18" x14ac:dyDescent="0.3">
      <c r="A1174">
        <v>0.64500000000000046</v>
      </c>
      <c r="B1174">
        <v>4.4000000000000002E-6</v>
      </c>
      <c r="D1174">
        <v>70.076263281098662</v>
      </c>
      <c r="F1174">
        <v>5.8200822436420166E-4</v>
      </c>
      <c r="H1174">
        <v>1.7119402135442043E-4</v>
      </c>
      <c r="J1174">
        <v>140246.16429656479</v>
      </c>
      <c r="L1174">
        <v>0.64500000000000046</v>
      </c>
      <c r="N1174">
        <v>-4.1788159274013198E-4</v>
      </c>
      <c r="P1174">
        <v>4.0081705048846512E-2</v>
      </c>
      <c r="R1174">
        <v>3.3721122626388553E-248</v>
      </c>
    </row>
    <row r="1175" spans="1:18" x14ac:dyDescent="0.3">
      <c r="A1175">
        <v>0.64000000000000046</v>
      </c>
      <c r="B1175">
        <v>4.4000000000000002E-6</v>
      </c>
      <c r="D1175">
        <v>70.076263281098662</v>
      </c>
      <c r="F1175">
        <v>5.8200822436420166E-4</v>
      </c>
      <c r="H1175">
        <v>1.7119402135442043E-4</v>
      </c>
      <c r="J1175">
        <v>140246.16429656479</v>
      </c>
      <c r="L1175">
        <v>0.64000000000000046</v>
      </c>
      <c r="N1175">
        <v>-4.1497155161831096E-4</v>
      </c>
      <c r="P1175">
        <v>3.9795762143076834E-2</v>
      </c>
      <c r="R1175">
        <v>1.2497971650090446E-253</v>
      </c>
    </row>
    <row r="1176" spans="1:18" x14ac:dyDescent="0.3">
      <c r="A1176">
        <v>0.63500000000000045</v>
      </c>
      <c r="B1176">
        <v>4.4000000000000002E-6</v>
      </c>
      <c r="D1176">
        <v>70.076263281098662</v>
      </c>
      <c r="F1176">
        <v>5.8200822436420166E-4</v>
      </c>
      <c r="H1176">
        <v>1.7119402135442043E-4</v>
      </c>
      <c r="J1176">
        <v>140246.16429656479</v>
      </c>
      <c r="L1176">
        <v>0.63500000000000045</v>
      </c>
      <c r="N1176">
        <v>-4.1206151049648994E-4</v>
      </c>
      <c r="P1176">
        <v>3.9509640465239262E-2</v>
      </c>
      <c r="R1176">
        <v>3.3456635804161561E-259</v>
      </c>
    </row>
    <row r="1177" spans="1:18" x14ac:dyDescent="0.3">
      <c r="A1177">
        <v>0.63000000000000045</v>
      </c>
      <c r="B1177">
        <v>4.4000000000000002E-6</v>
      </c>
      <c r="D1177">
        <v>70.076263281098662</v>
      </c>
      <c r="F1177">
        <v>5.8200822436420166E-4</v>
      </c>
      <c r="H1177">
        <v>1.7119402135442043E-4</v>
      </c>
      <c r="J1177">
        <v>140246.16429656479</v>
      </c>
      <c r="L1177">
        <v>0.63000000000000045</v>
      </c>
      <c r="N1177">
        <v>-4.0915146937466892E-4</v>
      </c>
      <c r="P1177">
        <v>3.9223338494557149E-2</v>
      </c>
      <c r="R1177">
        <v>6.4008057315451547E-265</v>
      </c>
    </row>
    <row r="1178" spans="1:18" x14ac:dyDescent="0.3">
      <c r="A1178">
        <v>0.62500000000000044</v>
      </c>
      <c r="B1178">
        <v>4.4000000000000002E-6</v>
      </c>
      <c r="D1178">
        <v>70.076263281098662</v>
      </c>
      <c r="F1178">
        <v>5.8200822436420166E-4</v>
      </c>
      <c r="H1178">
        <v>1.7119402135442043E-4</v>
      </c>
      <c r="J1178">
        <v>140246.16429656479</v>
      </c>
      <c r="L1178">
        <v>0.62500000000000044</v>
      </c>
      <c r="N1178">
        <v>-4.062414282528479E-4</v>
      </c>
      <c r="P1178">
        <v>3.8936854685140222E-2</v>
      </c>
      <c r="R1178">
        <v>8.6559821985113639E-271</v>
      </c>
    </row>
    <row r="1179" spans="1:18" x14ac:dyDescent="0.3">
      <c r="A1179">
        <v>0.62000000000000044</v>
      </c>
      <c r="B1179">
        <v>4.4000000000000002E-6</v>
      </c>
      <c r="D1179">
        <v>70.076263281098662</v>
      </c>
      <c r="F1179">
        <v>5.8200822436420166E-4</v>
      </c>
      <c r="H1179">
        <v>1.7119402135442043E-4</v>
      </c>
      <c r="J1179">
        <v>140246.16429656479</v>
      </c>
      <c r="L1179">
        <v>0.62000000000000044</v>
      </c>
      <c r="N1179">
        <v>-4.0333138713102688E-4</v>
      </c>
      <c r="P1179">
        <v>3.8650187465365554E-2</v>
      </c>
      <c r="R1179">
        <v>8.1800022678108836E-277</v>
      </c>
    </row>
    <row r="1180" spans="1:18" x14ac:dyDescent="0.3">
      <c r="A1180">
        <v>0.61500000000000044</v>
      </c>
      <c r="B1180">
        <v>4.4000000000000002E-6</v>
      </c>
      <c r="D1180">
        <v>70.076263281098662</v>
      </c>
      <c r="F1180">
        <v>5.8200822436420166E-4</v>
      </c>
      <c r="H1180">
        <v>1.7119402135442043E-4</v>
      </c>
      <c r="J1180">
        <v>140246.16429656479</v>
      </c>
      <c r="L1180">
        <v>0.61500000000000044</v>
      </c>
      <c r="N1180">
        <v>-4.0042134600920586E-4</v>
      </c>
      <c r="P1180">
        <v>3.8363335237238158E-2</v>
      </c>
      <c r="R1180">
        <v>5.3378799264532E-283</v>
      </c>
    </row>
    <row r="1181" spans="1:18" x14ac:dyDescent="0.3">
      <c r="A1181">
        <v>0.61000000000000043</v>
      </c>
      <c r="B1181">
        <v>4.4000000000000002E-6</v>
      </c>
      <c r="D1181">
        <v>70.076263281098662</v>
      </c>
      <c r="F1181">
        <v>5.8200822436420166E-4</v>
      </c>
      <c r="H1181">
        <v>1.7119402135442043E-4</v>
      </c>
      <c r="J1181">
        <v>140246.16429656479</v>
      </c>
      <c r="L1181">
        <v>0.61000000000000043</v>
      </c>
      <c r="N1181">
        <v>-3.9751130488738484E-4</v>
      </c>
      <c r="P1181">
        <v>3.807629637573038E-2</v>
      </c>
      <c r="R1181">
        <v>2.3755948656906131E-289</v>
      </c>
    </row>
    <row r="1182" spans="1:18" x14ac:dyDescent="0.3">
      <c r="A1182">
        <v>0.60500000000000043</v>
      </c>
      <c r="B1182">
        <v>4.4000000000000002E-6</v>
      </c>
      <c r="D1182">
        <v>70.076263281098662</v>
      </c>
      <c r="F1182">
        <v>5.8200822436420166E-4</v>
      </c>
      <c r="H1182">
        <v>1.7119402135442043E-4</v>
      </c>
      <c r="J1182">
        <v>140246.16429656479</v>
      </c>
      <c r="L1182">
        <v>0.60500000000000043</v>
      </c>
      <c r="N1182">
        <v>-3.9460126376556382E-4</v>
      </c>
      <c r="P1182">
        <v>3.7789069228099187E-2</v>
      </c>
      <c r="R1182">
        <v>7.1178767118247734E-296</v>
      </c>
    </row>
    <row r="1183" spans="1:18" x14ac:dyDescent="0.3">
      <c r="A1183">
        <v>0.60000000000000042</v>
      </c>
      <c r="B1183">
        <v>4.4000000000000002E-6</v>
      </c>
      <c r="D1183">
        <v>70.076263281098662</v>
      </c>
      <c r="F1183">
        <v>5.8200822436420166E-4</v>
      </c>
      <c r="H1183">
        <v>1.7119402135442043E-4</v>
      </c>
      <c r="J1183">
        <v>140246.16429656479</v>
      </c>
      <c r="L1183">
        <v>0.60000000000000042</v>
      </c>
      <c r="N1183">
        <v>-3.916912226437428E-4</v>
      </c>
      <c r="P1183">
        <v>3.7501652113180399E-2</v>
      </c>
      <c r="R1183">
        <v>1.4166238721278377E-302</v>
      </c>
    </row>
    <row r="1184" spans="1:18" x14ac:dyDescent="0.3">
      <c r="A1184">
        <v>0.59500000000000042</v>
      </c>
      <c r="B1184">
        <v>4.4000000000000002E-6</v>
      </c>
      <c r="D1184">
        <v>70.076263281098662</v>
      </c>
      <c r="F1184">
        <v>5.8200822436420166E-4</v>
      </c>
      <c r="H1184">
        <v>1.7119402135442043E-4</v>
      </c>
      <c r="J1184">
        <v>140246.16429656479</v>
      </c>
      <c r="L1184">
        <v>0.59500000000000042</v>
      </c>
      <c r="N1184">
        <v>-3.8878118152192178E-4</v>
      </c>
      <c r="P1184">
        <v>3.7214043320658967E-2</v>
      </c>
      <c r="R1184">
        <v>0</v>
      </c>
    </row>
    <row r="1185" spans="1:18" x14ac:dyDescent="0.3">
      <c r="A1185">
        <v>0.59000000000000041</v>
      </c>
      <c r="B1185">
        <v>4.4000000000000002E-6</v>
      </c>
      <c r="D1185">
        <v>70.076263281098662</v>
      </c>
      <c r="F1185">
        <v>5.8200822436420166E-4</v>
      </c>
      <c r="H1185">
        <v>1.7119402135442043E-4</v>
      </c>
      <c r="J1185">
        <v>140246.16429656479</v>
      </c>
      <c r="L1185">
        <v>0.59000000000000041</v>
      </c>
      <c r="N1185">
        <v>-3.8587114040010076E-4</v>
      </c>
      <c r="P1185">
        <v>3.6926241110314152E-2</v>
      </c>
      <c r="R1185">
        <v>0</v>
      </c>
    </row>
    <row r="1186" spans="1:18" x14ac:dyDescent="0.3">
      <c r="A1186">
        <v>0.58500000000000041</v>
      </c>
      <c r="B1186">
        <v>4.4000000000000002E-6</v>
      </c>
      <c r="D1186">
        <v>70.076263281098662</v>
      </c>
      <c r="F1186">
        <v>5.8200822436420166E-4</v>
      </c>
      <c r="H1186">
        <v>1.7119402135442043E-4</v>
      </c>
      <c r="J1186">
        <v>140246.16429656479</v>
      </c>
      <c r="L1186">
        <v>0.58500000000000041</v>
      </c>
      <c r="N1186">
        <v>-3.8296109927827974E-4</v>
      </c>
      <c r="P1186">
        <v>3.663824371123868E-2</v>
      </c>
      <c r="R1186">
        <v>0</v>
      </c>
    </row>
    <row r="1187" spans="1:18" x14ac:dyDescent="0.3">
      <c r="A1187">
        <v>0.5800000000000004</v>
      </c>
      <c r="B1187">
        <v>4.4000000000000002E-6</v>
      </c>
      <c r="D1187">
        <v>70.076263281098662</v>
      </c>
      <c r="F1187">
        <v>5.8200822436420166E-4</v>
      </c>
      <c r="H1187">
        <v>1.7119402135442043E-4</v>
      </c>
      <c r="J1187">
        <v>140246.16429656479</v>
      </c>
      <c r="L1187">
        <v>0.5800000000000004</v>
      </c>
      <c r="N1187">
        <v>-3.8005105815645872E-4</v>
      </c>
      <c r="P1187">
        <v>3.6350049321030586E-2</v>
      </c>
      <c r="R1187">
        <v>0</v>
      </c>
    </row>
    <row r="1188" spans="1:18" x14ac:dyDescent="0.3">
      <c r="A1188">
        <v>0.5750000000000004</v>
      </c>
      <c r="B1188">
        <v>4.4000000000000002E-6</v>
      </c>
      <c r="D1188">
        <v>70.076263281098662</v>
      </c>
      <c r="F1188">
        <v>5.8200822436420166E-4</v>
      </c>
      <c r="H1188">
        <v>1.7119402135442043E-4</v>
      </c>
      <c r="J1188">
        <v>140246.16429656479</v>
      </c>
      <c r="L1188">
        <v>0.5750000000000004</v>
      </c>
      <c r="N1188">
        <v>-3.771410170346377E-4</v>
      </c>
      <c r="P1188">
        <v>3.6061656104956645E-2</v>
      </c>
      <c r="R1188">
        <v>0</v>
      </c>
    </row>
    <row r="1189" spans="1:18" x14ac:dyDescent="0.3">
      <c r="A1189">
        <v>0.5700000000000004</v>
      </c>
      <c r="B1189">
        <v>4.4000000000000002E-6</v>
      </c>
      <c r="D1189">
        <v>70.076263281098662</v>
      </c>
      <c r="F1189">
        <v>5.8200822436420166E-4</v>
      </c>
      <c r="H1189">
        <v>1.7119402135442043E-4</v>
      </c>
      <c r="J1189">
        <v>140246.16429656479</v>
      </c>
      <c r="L1189">
        <v>0.5700000000000004</v>
      </c>
      <c r="N1189">
        <v>-3.7423097591281668E-4</v>
      </c>
      <c r="P1189">
        <v>3.5773062195086115E-2</v>
      </c>
      <c r="R1189">
        <v>0</v>
      </c>
    </row>
    <row r="1190" spans="1:18" x14ac:dyDescent="0.3">
      <c r="A1190">
        <v>0.56500000000000039</v>
      </c>
      <c r="B1190">
        <v>4.4000000000000002E-6</v>
      </c>
      <c r="D1190">
        <v>70.076263281098662</v>
      </c>
      <c r="F1190">
        <v>5.8200822436420166E-4</v>
      </c>
      <c r="H1190">
        <v>1.7119402135442043E-4</v>
      </c>
      <c r="J1190">
        <v>140246.16429656479</v>
      </c>
      <c r="L1190">
        <v>0.56500000000000039</v>
      </c>
      <c r="N1190">
        <v>-3.7132093479099566E-4</v>
      </c>
      <c r="P1190">
        <v>3.5484265689393481E-2</v>
      </c>
      <c r="R1190">
        <v>0</v>
      </c>
    </row>
    <row r="1191" spans="1:18" x14ac:dyDescent="0.3">
      <c r="A1191">
        <v>0.56000000000000039</v>
      </c>
      <c r="B1191">
        <v>4.4000000000000002E-6</v>
      </c>
      <c r="D1191">
        <v>70.076263281098662</v>
      </c>
      <c r="F1191">
        <v>5.8200822436420166E-4</v>
      </c>
      <c r="H1191">
        <v>1.7119402135442043E-4</v>
      </c>
      <c r="J1191">
        <v>140246.16429656479</v>
      </c>
      <c r="L1191">
        <v>0.56000000000000039</v>
      </c>
      <c r="N1191">
        <v>-3.6841089366917464E-4</v>
      </c>
      <c r="P1191">
        <v>3.5195264650828721E-2</v>
      </c>
      <c r="R1191">
        <v>0</v>
      </c>
    </row>
    <row r="1192" spans="1:18" x14ac:dyDescent="0.3">
      <c r="A1192">
        <v>0.55500000000000038</v>
      </c>
      <c r="B1192">
        <v>4.4000000000000002E-6</v>
      </c>
      <c r="D1192">
        <v>70.076263281098662</v>
      </c>
      <c r="F1192">
        <v>5.8200822436420166E-4</v>
      </c>
      <c r="H1192">
        <v>1.7119402135442043E-4</v>
      </c>
      <c r="J1192">
        <v>140246.16429656479</v>
      </c>
      <c r="L1192">
        <v>0.55500000000000038</v>
      </c>
      <c r="N1192">
        <v>-3.6550085254735362E-4</v>
      </c>
      <c r="P1192">
        <v>3.4906057106353819E-2</v>
      </c>
      <c r="R1192">
        <v>0</v>
      </c>
    </row>
    <row r="1193" spans="1:18" x14ac:dyDescent="0.3">
      <c r="A1193">
        <v>0.55000000000000038</v>
      </c>
      <c r="B1193">
        <v>4.4000000000000002E-6</v>
      </c>
      <c r="D1193">
        <v>70.076263281098662</v>
      </c>
      <c r="F1193">
        <v>5.8200822436420166E-4</v>
      </c>
      <c r="H1193">
        <v>1.7119402135442043E-4</v>
      </c>
      <c r="J1193">
        <v>140246.16429656479</v>
      </c>
      <c r="L1193">
        <v>0.55000000000000038</v>
      </c>
      <c r="N1193">
        <v>-3.625908114255326E-4</v>
      </c>
      <c r="P1193">
        <v>3.4616641045943683E-2</v>
      </c>
      <c r="R1193">
        <v>0</v>
      </c>
    </row>
    <row r="1194" spans="1:18" x14ac:dyDescent="0.3">
      <c r="A1194">
        <v>0.54500000000000037</v>
      </c>
      <c r="B1194">
        <v>4.4000000000000002E-6</v>
      </c>
      <c r="D1194">
        <v>70.076263281098662</v>
      </c>
      <c r="F1194">
        <v>5.8200822436420166E-4</v>
      </c>
      <c r="H1194">
        <v>1.7119402135442043E-4</v>
      </c>
      <c r="J1194">
        <v>140246.16429656479</v>
      </c>
      <c r="L1194">
        <v>0.54500000000000037</v>
      </c>
      <c r="N1194">
        <v>-3.5968077030371158E-4</v>
      </c>
      <c r="P1194">
        <v>3.4327014421550145E-2</v>
      </c>
      <c r="R1194">
        <v>0</v>
      </c>
    </row>
    <row r="1195" spans="1:18" x14ac:dyDescent="0.3">
      <c r="A1195">
        <v>0.54000000000000037</v>
      </c>
      <c r="B1195">
        <v>4.4000000000000002E-6</v>
      </c>
      <c r="D1195">
        <v>70.076263281098662</v>
      </c>
      <c r="F1195">
        <v>5.8200822436420166E-4</v>
      </c>
      <c r="H1195">
        <v>1.7119402135442043E-4</v>
      </c>
      <c r="J1195">
        <v>140246.16429656479</v>
      </c>
      <c r="L1195">
        <v>0.54000000000000037</v>
      </c>
      <c r="N1195">
        <v>-3.5677072918189056E-4</v>
      </c>
      <c r="P1195">
        <v>3.403717514602702E-2</v>
      </c>
      <c r="R1195">
        <v>0</v>
      </c>
    </row>
    <row r="1196" spans="1:18" x14ac:dyDescent="0.3">
      <c r="A1196">
        <v>0.53500000000000036</v>
      </c>
      <c r="B1196">
        <v>4.4000000000000002E-6</v>
      </c>
      <c r="D1196">
        <v>70.076263281098662</v>
      </c>
      <c r="F1196">
        <v>5.8200822436420166E-4</v>
      </c>
      <c r="H1196">
        <v>1.7119402135442043E-4</v>
      </c>
      <c r="J1196">
        <v>140246.16429656479</v>
      </c>
      <c r="L1196">
        <v>0.53500000000000036</v>
      </c>
      <c r="N1196">
        <v>-3.5386068806006954E-4</v>
      </c>
      <c r="P1196">
        <v>3.3747121092014692E-2</v>
      </c>
      <c r="R1196">
        <v>0</v>
      </c>
    </row>
    <row r="1197" spans="1:18" x14ac:dyDescent="0.3">
      <c r="A1197">
        <v>0.53000000000000036</v>
      </c>
      <c r="B1197">
        <v>4.4000000000000002E-6</v>
      </c>
      <c r="D1197">
        <v>70.076263281098662</v>
      </c>
      <c r="F1197">
        <v>5.8200822436420166E-4</v>
      </c>
      <c r="H1197">
        <v>1.7119402135442043E-4</v>
      </c>
      <c r="J1197">
        <v>140246.16429656479</v>
      </c>
      <c r="L1197">
        <v>0.53000000000000036</v>
      </c>
      <c r="N1197">
        <v>-3.5095064693824852E-4</v>
      </c>
      <c r="P1197">
        <v>3.3456850090782024E-2</v>
      </c>
      <c r="R1197">
        <v>0</v>
      </c>
    </row>
    <row r="1198" spans="1:18" x14ac:dyDescent="0.3">
      <c r="A1198">
        <v>0.52500000000000036</v>
      </c>
      <c r="B1198">
        <v>4.4000000000000002E-6</v>
      </c>
      <c r="D1198">
        <v>70.076263281098662</v>
      </c>
      <c r="F1198">
        <v>5.8200822436420166E-4</v>
      </c>
      <c r="H1198">
        <v>1.7119402135442043E-4</v>
      </c>
      <c r="J1198">
        <v>140246.16429656479</v>
      </c>
      <c r="L1198">
        <v>0.52500000000000036</v>
      </c>
      <c r="N1198">
        <v>-3.480406058164275E-4</v>
      </c>
      <c r="P1198">
        <v>3.3166359931023723E-2</v>
      </c>
      <c r="R1198">
        <v>0</v>
      </c>
    </row>
    <row r="1199" spans="1:18" x14ac:dyDescent="0.3">
      <c r="A1199">
        <v>0.52000000000000035</v>
      </c>
      <c r="B1199">
        <v>4.4000000000000002E-6</v>
      </c>
      <c r="D1199">
        <v>70.076263281098662</v>
      </c>
      <c r="F1199">
        <v>5.8200822436420166E-4</v>
      </c>
      <c r="H1199">
        <v>1.7119402135442043E-4</v>
      </c>
      <c r="J1199">
        <v>140246.16429656479</v>
      </c>
      <c r="L1199">
        <v>0.52000000000000035</v>
      </c>
      <c r="N1199">
        <v>-3.4513056469460648E-4</v>
      </c>
      <c r="P1199">
        <v>3.2875648357610962E-2</v>
      </c>
      <c r="R1199">
        <v>0</v>
      </c>
    </row>
    <row r="1200" spans="1:18" x14ac:dyDescent="0.3">
      <c r="A1200">
        <v>0.51500000000000035</v>
      </c>
      <c r="B1200">
        <v>4.4000000000000002E-6</v>
      </c>
      <c r="D1200">
        <v>70.076263281098662</v>
      </c>
      <c r="F1200">
        <v>5.8200822436420166E-4</v>
      </c>
      <c r="H1200">
        <v>1.7119402135442043E-4</v>
      </c>
      <c r="J1200">
        <v>140246.16429656479</v>
      </c>
      <c r="L1200">
        <v>0.51500000000000035</v>
      </c>
      <c r="N1200">
        <v>-3.4222052357278545E-4</v>
      </c>
      <c r="P1200">
        <v>3.2584713070292939E-2</v>
      </c>
      <c r="R1200">
        <v>0</v>
      </c>
    </row>
    <row r="1201" spans="1:18" x14ac:dyDescent="0.3">
      <c r="A1201">
        <v>0.51000000000000034</v>
      </c>
      <c r="B1201">
        <v>4.4000000000000002E-6</v>
      </c>
      <c r="D1201">
        <v>70.076263281098662</v>
      </c>
      <c r="F1201">
        <v>5.8200822436420166E-4</v>
      </c>
      <c r="H1201">
        <v>1.7119402135442043E-4</v>
      </c>
      <c r="J1201">
        <v>140246.16429656479</v>
      </c>
      <c r="L1201">
        <v>0.51000000000000034</v>
      </c>
      <c r="N1201">
        <v>-3.3931048245096443E-4</v>
      </c>
      <c r="P1201">
        <v>3.2293551722347012E-2</v>
      </c>
      <c r="R1201">
        <v>0</v>
      </c>
    </row>
    <row r="1202" spans="1:18" x14ac:dyDescent="0.3">
      <c r="A1202">
        <v>0.50500000000000034</v>
      </c>
      <c r="B1202">
        <v>4.4000000000000002E-6</v>
      </c>
      <c r="D1202">
        <v>70.076263281098662</v>
      </c>
      <c r="F1202">
        <v>5.8200822436420166E-4</v>
      </c>
      <c r="H1202">
        <v>1.7119402135442043E-4</v>
      </c>
      <c r="J1202">
        <v>140246.16429656479</v>
      </c>
      <c r="L1202">
        <v>0.50500000000000034</v>
      </c>
      <c r="N1202">
        <v>-3.3640044132914341E-4</v>
      </c>
      <c r="P1202">
        <v>3.2002161919174779E-2</v>
      </c>
      <c r="R1202">
        <v>0</v>
      </c>
    </row>
    <row r="1203" spans="1:18" x14ac:dyDescent="0.3">
      <c r="A1203">
        <v>0.50000000000000033</v>
      </c>
      <c r="B1203">
        <v>4.4000000000000002E-6</v>
      </c>
      <c r="D1203">
        <v>70.076263281098662</v>
      </c>
      <c r="F1203">
        <v>5.8200822436420166E-4</v>
      </c>
      <c r="H1203">
        <v>1.7119402135442043E-4</v>
      </c>
      <c r="J1203">
        <v>140246.16429656479</v>
      </c>
      <c r="L1203">
        <v>0.50000000000000033</v>
      </c>
      <c r="N1203">
        <v>-3.3349040020732239E-4</v>
      </c>
      <c r="P1203">
        <v>3.1710541216841429E-2</v>
      </c>
      <c r="R1203">
        <v>0</v>
      </c>
    </row>
    <row r="1204" spans="1:18" x14ac:dyDescent="0.3">
      <c r="A1204">
        <v>0.49500000000000033</v>
      </c>
      <c r="B1204">
        <v>4.4000000000000002E-6</v>
      </c>
      <c r="D1204">
        <v>70.076263281098662</v>
      </c>
      <c r="F1204">
        <v>5.8200822436420166E-4</v>
      </c>
      <c r="H1204">
        <v>1.7119402135442043E-4</v>
      </c>
      <c r="J1204">
        <v>140246.16429656479</v>
      </c>
      <c r="L1204">
        <v>0.49500000000000033</v>
      </c>
      <c r="N1204">
        <v>-3.3058035908550137E-4</v>
      </c>
      <c r="P1204">
        <v>3.1418687120555483E-2</v>
      </c>
      <c r="R1204">
        <v>0</v>
      </c>
    </row>
    <row r="1205" spans="1:18" x14ac:dyDescent="0.3">
      <c r="A1205">
        <v>0.49000000000000032</v>
      </c>
      <c r="B1205">
        <v>4.4000000000000002E-6</v>
      </c>
      <c r="D1205">
        <v>70.076263281098662</v>
      </c>
      <c r="F1205">
        <v>5.8200822436420166E-4</v>
      </c>
      <c r="H1205">
        <v>1.7119402135442043E-4</v>
      </c>
      <c r="J1205">
        <v>140246.16429656479</v>
      </c>
      <c r="L1205">
        <v>0.49000000000000032</v>
      </c>
      <c r="N1205">
        <v>-3.2767031796368035E-4</v>
      </c>
      <c r="P1205">
        <v>3.1126597083085857E-2</v>
      </c>
      <c r="R1205">
        <v>0</v>
      </c>
    </row>
    <row r="1206" spans="1:18" x14ac:dyDescent="0.3">
      <c r="A1206">
        <v>0.48500000000000032</v>
      </c>
      <c r="B1206">
        <v>4.4000000000000002E-6</v>
      </c>
      <c r="D1206">
        <v>70.076263281098662</v>
      </c>
      <c r="F1206">
        <v>5.8200822436420166E-4</v>
      </c>
      <c r="H1206">
        <v>1.7119402135442043E-4</v>
      </c>
      <c r="J1206">
        <v>140246.16429656479</v>
      </c>
      <c r="L1206">
        <v>0.48500000000000032</v>
      </c>
      <c r="N1206">
        <v>-3.2476027684185933E-4</v>
      </c>
      <c r="P1206">
        <v>3.0834268503112938E-2</v>
      </c>
      <c r="R1206">
        <v>0</v>
      </c>
    </row>
    <row r="1207" spans="1:18" x14ac:dyDescent="0.3">
      <c r="A1207">
        <v>0.48000000000000032</v>
      </c>
      <c r="B1207">
        <v>4.4000000000000002E-6</v>
      </c>
      <c r="D1207">
        <v>70.076263281098662</v>
      </c>
      <c r="F1207">
        <v>5.8200822436420166E-4</v>
      </c>
      <c r="H1207">
        <v>1.7119402135442043E-4</v>
      </c>
      <c r="J1207">
        <v>140246.16429656479</v>
      </c>
      <c r="L1207">
        <v>0.48000000000000032</v>
      </c>
      <c r="N1207">
        <v>-3.2185023572003831E-4</v>
      </c>
      <c r="P1207">
        <v>3.0541698723510355E-2</v>
      </c>
      <c r="R1207">
        <v>0</v>
      </c>
    </row>
    <row r="1208" spans="1:18" x14ac:dyDescent="0.3">
      <c r="A1208">
        <v>0.47500000000000031</v>
      </c>
      <c r="B1208">
        <v>4.4000000000000002E-6</v>
      </c>
      <c r="D1208">
        <v>70.076263281098662</v>
      </c>
      <c r="F1208">
        <v>5.8200822436420166E-4</v>
      </c>
      <c r="H1208">
        <v>1.7119402135442043E-4</v>
      </c>
      <c r="J1208">
        <v>140246.16429656479</v>
      </c>
      <c r="L1208">
        <v>0.47500000000000031</v>
      </c>
      <c r="N1208">
        <v>-3.1894019459821729E-4</v>
      </c>
      <c r="P1208">
        <v>3.0248885029553616E-2</v>
      </c>
      <c r="R1208">
        <v>0</v>
      </c>
    </row>
    <row r="1209" spans="1:18" x14ac:dyDescent="0.3">
      <c r="A1209">
        <v>0.47000000000000031</v>
      </c>
      <c r="B1209">
        <v>4.4000000000000002E-6</v>
      </c>
      <c r="D1209">
        <v>70.076263281098662</v>
      </c>
      <c r="F1209">
        <v>5.8200822436420166E-4</v>
      </c>
      <c r="H1209">
        <v>1.7119402135442043E-4</v>
      </c>
      <c r="J1209">
        <v>140246.16429656479</v>
      </c>
      <c r="L1209">
        <v>0.47000000000000031</v>
      </c>
      <c r="N1209">
        <v>-3.1603015347639627E-4</v>
      </c>
      <c r="P1209">
        <v>2.9955824647051779E-2</v>
      </c>
      <c r="R1209">
        <v>0</v>
      </c>
    </row>
    <row r="1210" spans="1:18" x14ac:dyDescent="0.3">
      <c r="A1210">
        <v>0.4650000000000003</v>
      </c>
      <c r="B1210">
        <v>4.4000000000000002E-6</v>
      </c>
      <c r="D1210">
        <v>70.076263281098662</v>
      </c>
      <c r="F1210">
        <v>5.8200822436420166E-4</v>
      </c>
      <c r="H1210">
        <v>1.7119402135442043E-4</v>
      </c>
      <c r="J1210">
        <v>140246.16429656479</v>
      </c>
      <c r="L1210">
        <v>0.4650000000000003</v>
      </c>
      <c r="N1210">
        <v>-3.1312011235457525E-4</v>
      </c>
      <c r="P1210">
        <v>2.9662514740398049E-2</v>
      </c>
      <c r="R1210">
        <v>0</v>
      </c>
    </row>
    <row r="1211" spans="1:18" x14ac:dyDescent="0.3">
      <c r="A1211">
        <v>0.4600000000000003</v>
      </c>
      <c r="B1211">
        <v>4.4000000000000002E-6</v>
      </c>
      <c r="D1211">
        <v>70.076263281098662</v>
      </c>
      <c r="F1211">
        <v>5.8200822436420166E-4</v>
      </c>
      <c r="H1211">
        <v>1.7119402135442043E-4</v>
      </c>
      <c r="J1211">
        <v>140246.16429656479</v>
      </c>
      <c r="L1211">
        <v>0.4600000000000003</v>
      </c>
      <c r="N1211">
        <v>-3.1021007123275423E-4</v>
      </c>
      <c r="P1211">
        <v>2.9368952410534721E-2</v>
      </c>
      <c r="R1211">
        <v>0</v>
      </c>
    </row>
    <row r="1212" spans="1:18" x14ac:dyDescent="0.3">
      <c r="A1212">
        <v>0.45500000000000029</v>
      </c>
      <c r="B1212">
        <v>4.4000000000000002E-6</v>
      </c>
      <c r="D1212">
        <v>70.076263281098662</v>
      </c>
      <c r="F1212">
        <v>5.8200822436420166E-4</v>
      </c>
      <c r="H1212">
        <v>1.7119402135442043E-4</v>
      </c>
      <c r="J1212">
        <v>140246.16429656479</v>
      </c>
      <c r="L1212">
        <v>0.45500000000000029</v>
      </c>
      <c r="N1212">
        <v>-3.0730003011093321E-4</v>
      </c>
      <c r="P1212">
        <v>2.9075134692827898E-2</v>
      </c>
      <c r="R1212">
        <v>0</v>
      </c>
    </row>
    <row r="1213" spans="1:18" x14ac:dyDescent="0.3">
      <c r="A1213">
        <v>0.45000000000000029</v>
      </c>
      <c r="B1213">
        <v>4.4000000000000002E-6</v>
      </c>
      <c r="D1213">
        <v>70.076263281098662</v>
      </c>
      <c r="F1213">
        <v>5.8200822436420166E-4</v>
      </c>
      <c r="H1213">
        <v>1.7119402135442043E-4</v>
      </c>
      <c r="J1213">
        <v>140246.16429656479</v>
      </c>
      <c r="L1213">
        <v>0.45000000000000029</v>
      </c>
      <c r="N1213">
        <v>-3.0438998898911219E-4</v>
      </c>
      <c r="P1213">
        <v>2.8781058554846833E-2</v>
      </c>
      <c r="R1213">
        <v>0</v>
      </c>
    </row>
    <row r="1214" spans="1:18" x14ac:dyDescent="0.3">
      <c r="A1214">
        <v>0.44500000000000028</v>
      </c>
      <c r="B1214">
        <v>4.4000000000000002E-6</v>
      </c>
      <c r="D1214">
        <v>70.076263281098662</v>
      </c>
      <c r="F1214">
        <v>5.8200822436420166E-4</v>
      </c>
      <c r="H1214">
        <v>1.7119402135442043E-4</v>
      </c>
      <c r="J1214">
        <v>140246.16429656479</v>
      </c>
      <c r="L1214">
        <v>0.44500000000000028</v>
      </c>
      <c r="N1214">
        <v>-3.0147994786729117E-4</v>
      </c>
      <c r="P1214">
        <v>2.8486720894042541E-2</v>
      </c>
      <c r="R1214">
        <v>0</v>
      </c>
    </row>
    <row r="1215" spans="1:18" x14ac:dyDescent="0.3">
      <c r="A1215">
        <v>0.44000000000000028</v>
      </c>
      <c r="B1215">
        <v>4.4000000000000002E-6</v>
      </c>
      <c r="D1215">
        <v>70.076263281098662</v>
      </c>
      <c r="F1215">
        <v>5.8200822436420166E-4</v>
      </c>
      <c r="H1215">
        <v>1.7119402135442043E-4</v>
      </c>
      <c r="J1215">
        <v>140246.16429656479</v>
      </c>
      <c r="L1215">
        <v>0.44000000000000028</v>
      </c>
      <c r="N1215">
        <v>-2.9856990674547015E-4</v>
      </c>
      <c r="P1215">
        <v>2.8192118535319974E-2</v>
      </c>
      <c r="R1215">
        <v>0</v>
      </c>
    </row>
    <row r="1216" spans="1:18" x14ac:dyDescent="0.3">
      <c r="A1216">
        <v>0.43500000000000028</v>
      </c>
      <c r="B1216">
        <v>4.4000000000000002E-6</v>
      </c>
      <c r="D1216">
        <v>70.076263281098662</v>
      </c>
      <c r="F1216">
        <v>5.8200822436420166E-4</v>
      </c>
      <c r="H1216">
        <v>1.7119402135442043E-4</v>
      </c>
      <c r="J1216">
        <v>140246.16429656479</v>
      </c>
      <c r="L1216">
        <v>0.43500000000000028</v>
      </c>
      <c r="N1216">
        <v>-2.9565986562364913E-4</v>
      </c>
      <c r="P1216">
        <v>2.7897248228497512E-2</v>
      </c>
      <c r="R1216">
        <v>0</v>
      </c>
    </row>
    <row r="1217" spans="1:18" x14ac:dyDescent="0.3">
      <c r="A1217">
        <v>0.43000000000000027</v>
      </c>
      <c r="B1217">
        <v>4.4000000000000002E-6</v>
      </c>
      <c r="D1217">
        <v>70.076263281098662</v>
      </c>
      <c r="F1217">
        <v>5.8200822436420166E-4</v>
      </c>
      <c r="H1217">
        <v>1.7119402135442043E-4</v>
      </c>
      <c r="J1217">
        <v>140246.16429656479</v>
      </c>
      <c r="L1217">
        <v>0.43000000000000027</v>
      </c>
      <c r="N1217">
        <v>-2.9274982450182811E-4</v>
      </c>
      <c r="P1217">
        <v>2.7602106645647297E-2</v>
      </c>
      <c r="R1217">
        <v>0</v>
      </c>
    </row>
    <row r="1218" spans="1:18" x14ac:dyDescent="0.3">
      <c r="A1218">
        <v>0.42500000000000027</v>
      </c>
      <c r="B1218">
        <v>4.4000000000000002E-6</v>
      </c>
      <c r="D1218">
        <v>70.076263281098662</v>
      </c>
      <c r="F1218">
        <v>5.8200822436420166E-4</v>
      </c>
      <c r="H1218">
        <v>1.7119402135442043E-4</v>
      </c>
      <c r="J1218">
        <v>140246.16429656479</v>
      </c>
      <c r="L1218">
        <v>0.42500000000000027</v>
      </c>
      <c r="N1218">
        <v>-2.8983978338000709E-4</v>
      </c>
      <c r="P1218">
        <v>2.7306690378309292E-2</v>
      </c>
      <c r="R1218">
        <v>0</v>
      </c>
    </row>
    <row r="1219" spans="1:18" x14ac:dyDescent="0.3">
      <c r="A1219">
        <v>0.42000000000000026</v>
      </c>
      <c r="B1219">
        <v>4.4000000000000002E-6</v>
      </c>
      <c r="D1219">
        <v>70.076263281098662</v>
      </c>
      <c r="F1219">
        <v>5.8200822436420166E-4</v>
      </c>
      <c r="H1219">
        <v>1.7119402135442043E-4</v>
      </c>
      <c r="J1219">
        <v>140246.16429656479</v>
      </c>
      <c r="L1219">
        <v>0.42000000000000026</v>
      </c>
      <c r="N1219">
        <v>-2.8692974225818607E-4</v>
      </c>
      <c r="P1219">
        <v>2.7010995934571555E-2</v>
      </c>
      <c r="R1219">
        <v>0</v>
      </c>
    </row>
    <row r="1220" spans="1:18" x14ac:dyDescent="0.3">
      <c r="A1220">
        <v>0.41500000000000026</v>
      </c>
      <c r="B1220">
        <v>4.4000000000000002E-6</v>
      </c>
      <c r="D1220">
        <v>70.076263281098662</v>
      </c>
      <c r="F1220">
        <v>5.8200822436420166E-4</v>
      </c>
      <c r="H1220">
        <v>1.7119402135442043E-4</v>
      </c>
      <c r="J1220">
        <v>140246.16429656479</v>
      </c>
      <c r="L1220">
        <v>0.41500000000000026</v>
      </c>
      <c r="N1220">
        <v>-2.8401970113636505E-4</v>
      </c>
      <c r="P1220">
        <v>2.6715019736008549E-2</v>
      </c>
      <c r="R1220">
        <v>0</v>
      </c>
    </row>
    <row r="1221" spans="1:18" x14ac:dyDescent="0.3">
      <c r="A1221">
        <v>0.41000000000000025</v>
      </c>
      <c r="B1221">
        <v>4.4000000000000002E-6</v>
      </c>
      <c r="D1221">
        <v>70.076263281098662</v>
      </c>
      <c r="F1221">
        <v>5.8200822436420166E-4</v>
      </c>
      <c r="H1221">
        <v>1.7119402135442043E-4</v>
      </c>
      <c r="J1221">
        <v>140246.16429656479</v>
      </c>
      <c r="L1221">
        <v>0.41000000000000025</v>
      </c>
      <c r="N1221">
        <v>-2.8110966001454403E-4</v>
      </c>
      <c r="P1221">
        <v>2.6418758114468983E-2</v>
      </c>
      <c r="R1221">
        <v>0</v>
      </c>
    </row>
    <row r="1222" spans="1:18" x14ac:dyDescent="0.3">
      <c r="A1222">
        <v>0.40500000000000025</v>
      </c>
      <c r="B1222">
        <v>4.4000000000000002E-6</v>
      </c>
      <c r="D1222">
        <v>70.076263281098662</v>
      </c>
      <c r="F1222">
        <v>5.8200822436420166E-4</v>
      </c>
      <c r="H1222">
        <v>1.7119402135442043E-4</v>
      </c>
      <c r="J1222">
        <v>140246.16429656479</v>
      </c>
      <c r="L1222">
        <v>0.40500000000000025</v>
      </c>
      <c r="N1222">
        <v>-2.7819961889272301E-4</v>
      </c>
      <c r="P1222">
        <v>2.6122207308703606E-2</v>
      </c>
      <c r="R1222">
        <v>0</v>
      </c>
    </row>
    <row r="1223" spans="1:18" x14ac:dyDescent="0.3">
      <c r="A1223">
        <v>0.40000000000000024</v>
      </c>
      <c r="B1223">
        <v>4.4000000000000002E-6</v>
      </c>
      <c r="D1223">
        <v>70.076263281098662</v>
      </c>
      <c r="F1223">
        <v>5.8200822436420166E-4</v>
      </c>
      <c r="H1223">
        <v>1.7119402135442043E-4</v>
      </c>
      <c r="J1223">
        <v>140246.16429656479</v>
      </c>
      <c r="L1223">
        <v>0.40000000000000024</v>
      </c>
      <c r="N1223">
        <v>-2.7528957777090199E-4</v>
      </c>
      <c r="P1223">
        <v>2.5825363460823102E-2</v>
      </c>
      <c r="R1223">
        <v>0</v>
      </c>
    </row>
    <row r="1224" spans="1:18" x14ac:dyDescent="0.3">
      <c r="A1224">
        <v>0.39500000000000024</v>
      </c>
      <c r="B1224">
        <v>4.4000000000000002E-6</v>
      </c>
      <c r="D1224">
        <v>70.076263281098662</v>
      </c>
      <c r="F1224">
        <v>5.8200822436420166E-4</v>
      </c>
      <c r="H1224">
        <v>1.7119402135442043E-4</v>
      </c>
      <c r="J1224">
        <v>140246.16429656479</v>
      </c>
      <c r="L1224">
        <v>0.39500000000000024</v>
      </c>
      <c r="N1224">
        <v>-2.7237953664908097E-4</v>
      </c>
      <c r="P1224">
        <v>2.5528222612575219E-2</v>
      </c>
      <c r="R1224">
        <v>0</v>
      </c>
    </row>
    <row r="1225" spans="1:18" x14ac:dyDescent="0.3">
      <c r="A1225">
        <v>0.39000000000000024</v>
      </c>
      <c r="B1225">
        <v>4.4000000000000002E-6</v>
      </c>
      <c r="D1225">
        <v>70.076263281098662</v>
      </c>
      <c r="F1225">
        <v>5.8200822436420166E-4</v>
      </c>
      <c r="H1225">
        <v>1.7119402135442043E-4</v>
      </c>
      <c r="J1225">
        <v>140246.16429656479</v>
      </c>
      <c r="L1225">
        <v>0.39000000000000024</v>
      </c>
      <c r="N1225">
        <v>-2.6946949552725995E-4</v>
      </c>
      <c r="P1225">
        <v>2.5230780701429513E-2</v>
      </c>
      <c r="R1225">
        <v>0</v>
      </c>
    </row>
    <row r="1226" spans="1:18" x14ac:dyDescent="0.3">
      <c r="A1226">
        <v>0.38500000000000023</v>
      </c>
      <c r="B1226">
        <v>4.4000000000000002E-6</v>
      </c>
      <c r="D1226">
        <v>70.076263281098662</v>
      </c>
      <c r="F1226">
        <v>5.8200822436420166E-4</v>
      </c>
      <c r="H1226">
        <v>1.7119402135442043E-4</v>
      </c>
      <c r="J1226">
        <v>140246.16429656479</v>
      </c>
      <c r="L1226">
        <v>0.38500000000000023</v>
      </c>
      <c r="N1226">
        <v>-2.6655945440543893E-4</v>
      </c>
      <c r="P1226">
        <v>2.4933033556457113E-2</v>
      </c>
      <c r="R1226">
        <v>0</v>
      </c>
    </row>
    <row r="1227" spans="1:18" x14ac:dyDescent="0.3">
      <c r="A1227">
        <v>0.38000000000000023</v>
      </c>
      <c r="B1227">
        <v>4.4000000000000002E-6</v>
      </c>
      <c r="D1227">
        <v>70.076263281098662</v>
      </c>
      <c r="F1227">
        <v>5.8200822436420166E-4</v>
      </c>
      <c r="H1227">
        <v>1.7119402135442043E-4</v>
      </c>
      <c r="J1227">
        <v>140246.16429656479</v>
      </c>
      <c r="L1227">
        <v>0.38000000000000023</v>
      </c>
      <c r="N1227">
        <v>-2.6364941328361791E-4</v>
      </c>
      <c r="P1227">
        <v>2.4634976893992102E-2</v>
      </c>
      <c r="R1227">
        <v>0</v>
      </c>
    </row>
    <row r="1228" spans="1:18" x14ac:dyDescent="0.3">
      <c r="A1228">
        <v>0.37500000000000022</v>
      </c>
      <c r="B1228">
        <v>4.4000000000000002E-6</v>
      </c>
      <c r="D1228">
        <v>70.076263281098662</v>
      </c>
      <c r="F1228">
        <v>5.8200822436420166E-4</v>
      </c>
      <c r="H1228">
        <v>1.7119402135442043E-4</v>
      </c>
      <c r="J1228">
        <v>140246.16429656479</v>
      </c>
      <c r="L1228">
        <v>0.37500000000000022</v>
      </c>
      <c r="N1228">
        <v>-2.6073937216179689E-4</v>
      </c>
      <c r="P1228">
        <v>2.4336606313059766E-2</v>
      </c>
      <c r="R1228">
        <v>0</v>
      </c>
    </row>
    <row r="1229" spans="1:18" x14ac:dyDescent="0.3">
      <c r="A1229">
        <v>0.37000000000000022</v>
      </c>
      <c r="B1229">
        <v>4.4000000000000002E-6</v>
      </c>
      <c r="D1229">
        <v>70.076263281098662</v>
      </c>
      <c r="F1229">
        <v>5.8200822436420166E-4</v>
      </c>
      <c r="H1229">
        <v>1.7119402135442043E-4</v>
      </c>
      <c r="J1229">
        <v>140246.16429656479</v>
      </c>
      <c r="L1229">
        <v>0.37000000000000022</v>
      </c>
      <c r="N1229">
        <v>-2.5782933103997587E-4</v>
      </c>
      <c r="P1229">
        <v>2.4037917290555981E-2</v>
      </c>
      <c r="R1229">
        <v>0</v>
      </c>
    </row>
    <row r="1230" spans="1:18" x14ac:dyDescent="0.3">
      <c r="A1230">
        <v>0.36500000000000021</v>
      </c>
      <c r="B1230">
        <v>4.4000000000000002E-6</v>
      </c>
      <c r="D1230">
        <v>70.076263281098662</v>
      </c>
      <c r="F1230">
        <v>5.8200822436420166E-4</v>
      </c>
      <c r="H1230">
        <v>1.7119402135442043E-4</v>
      </c>
      <c r="J1230">
        <v>140246.16429656479</v>
      </c>
      <c r="L1230">
        <v>0.36500000000000021</v>
      </c>
      <c r="N1230">
        <v>-2.5491928991815485E-4</v>
      </c>
      <c r="P1230">
        <v>2.3738905176160688E-2</v>
      </c>
      <c r="R1230">
        <v>0</v>
      </c>
    </row>
    <row r="1231" spans="1:18" x14ac:dyDescent="0.3">
      <c r="A1231">
        <v>0.36000000000000021</v>
      </c>
      <c r="B1231">
        <v>4.4000000000000002E-6</v>
      </c>
      <c r="D1231">
        <v>70.076263281098662</v>
      </c>
      <c r="F1231">
        <v>5.8200822436420166E-4</v>
      </c>
      <c r="H1231">
        <v>1.7119402135442043E-4</v>
      </c>
      <c r="J1231">
        <v>140246.16429656479</v>
      </c>
      <c r="L1231">
        <v>0.36000000000000021</v>
      </c>
      <c r="N1231">
        <v>-2.5200924879633383E-4</v>
      </c>
      <c r="P1231">
        <v>2.3439565186966781E-2</v>
      </c>
      <c r="R1231">
        <v>0</v>
      </c>
    </row>
    <row r="1232" spans="1:18" x14ac:dyDescent="0.3">
      <c r="A1232">
        <v>0.3550000000000002</v>
      </c>
      <c r="B1232">
        <v>4.4000000000000002E-6</v>
      </c>
      <c r="D1232">
        <v>70.076263281098662</v>
      </c>
      <c r="F1232">
        <v>5.8200822436420166E-4</v>
      </c>
      <c r="H1232">
        <v>1.7119402135442043E-4</v>
      </c>
      <c r="J1232">
        <v>140246.16429656479</v>
      </c>
      <c r="L1232">
        <v>0.3550000000000002</v>
      </c>
      <c r="N1232">
        <v>-2.4909920767451281E-4</v>
      </c>
      <c r="P1232">
        <v>2.3139892401804519E-2</v>
      </c>
      <c r="R1232">
        <v>0</v>
      </c>
    </row>
    <row r="1233" spans="1:18" x14ac:dyDescent="0.3">
      <c r="A1233">
        <v>0.3500000000000002</v>
      </c>
      <c r="B1233">
        <v>4.4000000000000002E-6</v>
      </c>
      <c r="D1233">
        <v>70.076263281098662</v>
      </c>
      <c r="F1233">
        <v>5.8200822436420166E-4</v>
      </c>
      <c r="H1233">
        <v>1.7119402135442043E-4</v>
      </c>
      <c r="J1233">
        <v>140246.16429656479</v>
      </c>
      <c r="L1233">
        <v>0.3500000000000002</v>
      </c>
      <c r="N1233">
        <v>-2.4618916655269179E-4</v>
      </c>
      <c r="P1233">
        <v>2.2839881755239488E-2</v>
      </c>
      <c r="R1233">
        <v>0</v>
      </c>
    </row>
    <row r="1234" spans="1:18" x14ac:dyDescent="0.3">
      <c r="A1234">
        <v>0.3450000000000002</v>
      </c>
      <c r="B1234">
        <v>4.4000000000000002E-6</v>
      </c>
      <c r="D1234">
        <v>70.076263281098662</v>
      </c>
      <c r="F1234">
        <v>5.8200822436420166E-4</v>
      </c>
      <c r="H1234">
        <v>1.7119402135442043E-4</v>
      </c>
      <c r="J1234">
        <v>140246.16429656479</v>
      </c>
      <c r="L1234">
        <v>0.3450000000000002</v>
      </c>
      <c r="N1234">
        <v>-2.4327912543087077E-4</v>
      </c>
      <c r="P1234">
        <v>2.2539528031220522E-2</v>
      </c>
      <c r="R1234">
        <v>0</v>
      </c>
    </row>
    <row r="1235" spans="1:18" x14ac:dyDescent="0.3">
      <c r="A1235">
        <v>0.34000000000000019</v>
      </c>
      <c r="B1235">
        <v>4.4000000000000002E-6</v>
      </c>
      <c r="D1235">
        <v>70.076263281098662</v>
      </c>
      <c r="F1235">
        <v>5.8200822436420166E-4</v>
      </c>
      <c r="H1235">
        <v>1.7119402135442043E-4</v>
      </c>
      <c r="J1235">
        <v>140246.16429656479</v>
      </c>
      <c r="L1235">
        <v>0.34000000000000019</v>
      </c>
      <c r="N1235">
        <v>-2.4036908430904975E-4</v>
      </c>
      <c r="P1235">
        <v>2.2238825856351674E-2</v>
      </c>
      <c r="R1235">
        <v>0</v>
      </c>
    </row>
    <row r="1236" spans="1:18" x14ac:dyDescent="0.3">
      <c r="A1236">
        <v>0.33500000000000019</v>
      </c>
      <c r="B1236">
        <v>4.4000000000000002E-6</v>
      </c>
      <c r="D1236">
        <v>70.076263281098662</v>
      </c>
      <c r="F1236">
        <v>5.8200822436420166E-4</v>
      </c>
      <c r="H1236">
        <v>1.7119402135442043E-4</v>
      </c>
      <c r="J1236">
        <v>140246.16429656479</v>
      </c>
      <c r="L1236">
        <v>0.33500000000000019</v>
      </c>
      <c r="N1236">
        <v>-2.3745904318722873E-4</v>
      </c>
      <c r="P1236">
        <v>2.1937769692760282E-2</v>
      </c>
      <c r="R1236">
        <v>0</v>
      </c>
    </row>
    <row r="1237" spans="1:18" x14ac:dyDescent="0.3">
      <c r="A1237">
        <v>0.33000000000000018</v>
      </c>
      <c r="B1237">
        <v>4.4000000000000002E-6</v>
      </c>
      <c r="D1237">
        <v>70.076263281098662</v>
      </c>
      <c r="F1237">
        <v>5.8200822436420166E-4</v>
      </c>
      <c r="H1237">
        <v>1.7119402135442043E-4</v>
      </c>
      <c r="J1237">
        <v>140246.16429656479</v>
      </c>
      <c r="L1237">
        <v>0.33000000000000018</v>
      </c>
      <c r="N1237">
        <v>-2.3454900206540771E-4</v>
      </c>
      <c r="P1237">
        <v>2.1636353830530339E-2</v>
      </c>
      <c r="R1237">
        <v>0</v>
      </c>
    </row>
    <row r="1238" spans="1:18" x14ac:dyDescent="0.3">
      <c r="A1238">
        <v>0.32500000000000018</v>
      </c>
      <c r="B1238">
        <v>4.4000000000000002E-6</v>
      </c>
      <c r="D1238">
        <v>70.076263281098662</v>
      </c>
      <c r="F1238">
        <v>5.8200822436420166E-4</v>
      </c>
      <c r="H1238">
        <v>1.7119402135442043E-4</v>
      </c>
      <c r="J1238">
        <v>140246.16429656479</v>
      </c>
      <c r="L1238">
        <v>0.32500000000000018</v>
      </c>
      <c r="N1238">
        <v>-2.3163896094358669E-4</v>
      </c>
      <c r="P1238">
        <v>2.1334572379667762E-2</v>
      </c>
      <c r="R1238">
        <v>0</v>
      </c>
    </row>
    <row r="1239" spans="1:18" x14ac:dyDescent="0.3">
      <c r="A1239">
        <v>0.32000000000000017</v>
      </c>
      <c r="B1239">
        <v>4.4000000000000002E-6</v>
      </c>
      <c r="D1239">
        <v>70.076263281098662</v>
      </c>
      <c r="F1239">
        <v>5.8200822436420166E-4</v>
      </c>
      <c r="H1239">
        <v>1.7119402135442043E-4</v>
      </c>
      <c r="J1239">
        <v>140246.16429656479</v>
      </c>
      <c r="L1239">
        <v>0.32000000000000017</v>
      </c>
      <c r="N1239">
        <v>-2.2872891982176567E-4</v>
      </c>
      <c r="P1239">
        <v>2.1032419261560912E-2</v>
      </c>
      <c r="R1239">
        <v>0</v>
      </c>
    </row>
    <row r="1240" spans="1:18" x14ac:dyDescent="0.3">
      <c r="A1240">
        <v>0.31500000000000017</v>
      </c>
      <c r="B1240">
        <v>4.4000000000000002E-6</v>
      </c>
      <c r="D1240">
        <v>70.076263281098662</v>
      </c>
      <c r="F1240">
        <v>5.8200822436420166E-4</v>
      </c>
      <c r="H1240">
        <v>1.7119402135442043E-4</v>
      </c>
      <c r="J1240">
        <v>140246.16429656479</v>
      </c>
      <c r="L1240">
        <v>0.31500000000000017</v>
      </c>
      <c r="N1240">
        <v>-2.2581887869994465E-4</v>
      </c>
      <c r="P1240">
        <v>2.0729888199896272E-2</v>
      </c>
      <c r="R1240">
        <v>0</v>
      </c>
    </row>
    <row r="1241" spans="1:18" x14ac:dyDescent="0.3">
      <c r="A1241">
        <v>0.31000000000000016</v>
      </c>
      <c r="B1241">
        <v>4.4000000000000002E-6</v>
      </c>
      <c r="D1241">
        <v>70.076263281098662</v>
      </c>
      <c r="F1241">
        <v>5.8200822436420166E-4</v>
      </c>
      <c r="H1241">
        <v>1.7119402135442043E-4</v>
      </c>
      <c r="J1241">
        <v>140246.16429656479</v>
      </c>
      <c r="L1241">
        <v>0.31000000000000016</v>
      </c>
      <c r="N1241">
        <v>-2.2290883757812363E-4</v>
      </c>
      <c r="P1241">
        <v>2.0426972710985355E-2</v>
      </c>
      <c r="R1241">
        <v>0</v>
      </c>
    </row>
    <row r="1242" spans="1:18" x14ac:dyDescent="0.3">
      <c r="A1242">
        <v>0.30500000000000016</v>
      </c>
      <c r="B1242">
        <v>4.4000000000000002E-6</v>
      </c>
      <c r="D1242">
        <v>70.076263281098662</v>
      </c>
      <c r="F1242">
        <v>5.8200822436420166E-4</v>
      </c>
      <c r="H1242">
        <v>1.7119402135442043E-4</v>
      </c>
      <c r="J1242">
        <v>140246.16429656479</v>
      </c>
      <c r="L1242">
        <v>0.30500000000000016</v>
      </c>
      <c r="N1242">
        <v>-2.1999879645630261E-4</v>
      </c>
      <c r="P1242">
        <v>2.0123666093454451E-2</v>
      </c>
      <c r="R1242">
        <v>0</v>
      </c>
    </row>
    <row r="1243" spans="1:18" x14ac:dyDescent="0.3">
      <c r="A1243">
        <v>0.30000000000000016</v>
      </c>
      <c r="B1243">
        <v>4.4000000000000002E-6</v>
      </c>
      <c r="D1243">
        <v>70.076263281098662</v>
      </c>
      <c r="F1243">
        <v>5.8200822436420166E-4</v>
      </c>
      <c r="H1243">
        <v>1.7119402135442043E-4</v>
      </c>
      <c r="J1243">
        <v>140246.16429656479</v>
      </c>
      <c r="L1243">
        <v>0.30000000000000016</v>
      </c>
      <c r="N1243">
        <v>-2.1708875533448159E-4</v>
      </c>
      <c r="P1243">
        <v>1.981996141724424E-2</v>
      </c>
      <c r="R1243">
        <v>0</v>
      </c>
    </row>
    <row r="1244" spans="1:18" x14ac:dyDescent="0.3">
      <c r="A1244">
        <v>0.29500000000000015</v>
      </c>
      <c r="B1244">
        <v>4.4000000000000002E-6</v>
      </c>
      <c r="D1244">
        <v>70.076263281098662</v>
      </c>
      <c r="F1244">
        <v>5.8200822436420166E-4</v>
      </c>
      <c r="H1244">
        <v>1.7119402135442043E-4</v>
      </c>
      <c r="J1244">
        <v>140246.16429656479</v>
      </c>
      <c r="L1244">
        <v>0.29500000000000015</v>
      </c>
      <c r="N1244">
        <v>-2.1417871421266057E-4</v>
      </c>
      <c r="P1244">
        <v>1.9515851511860673E-2</v>
      </c>
      <c r="R1244">
        <v>0</v>
      </c>
    </row>
    <row r="1245" spans="1:18" x14ac:dyDescent="0.3">
      <c r="A1245">
        <v>0.29000000000000015</v>
      </c>
      <c r="B1245">
        <v>4.4000000000000002E-6</v>
      </c>
      <c r="D1245">
        <v>70.076263281098662</v>
      </c>
      <c r="F1245">
        <v>5.8200822436420177E-4</v>
      </c>
      <c r="H1245">
        <v>1.7119402135442046E-4</v>
      </c>
      <c r="J1245">
        <v>140246.16429656479</v>
      </c>
      <c r="L1245">
        <v>0.29000000000000015</v>
      </c>
      <c r="N1245">
        <v>-2.1126867309083955E-4</v>
      </c>
      <c r="P1245">
        <v>1.921132895381264E-2</v>
      </c>
      <c r="R1245">
        <v>0</v>
      </c>
    </row>
    <row r="1246" spans="1:18" x14ac:dyDescent="0.3">
      <c r="A1246">
        <v>0.28500000000000014</v>
      </c>
      <c r="B1246">
        <v>4.4000000000000002E-6</v>
      </c>
      <c r="D1246">
        <v>70.076263281098662</v>
      </c>
      <c r="F1246">
        <v>5.8200822436420187E-4</v>
      </c>
      <c r="H1246">
        <v>1.7119402135442051E-4</v>
      </c>
      <c r="J1246">
        <v>140246.16429656473</v>
      </c>
      <c r="L1246">
        <v>0.28500000000000014</v>
      </c>
      <c r="N1246">
        <v>-2.0835863196901853E-4</v>
      </c>
      <c r="P1246">
        <v>1.8906386053165157E-2</v>
      </c>
      <c r="R1246">
        <v>0</v>
      </c>
    </row>
    <row r="1247" spans="1:18" x14ac:dyDescent="0.3">
      <c r="A1247">
        <v>0.28000000000000014</v>
      </c>
      <c r="B1247">
        <v>4.4000000000000002E-6</v>
      </c>
      <c r="D1247">
        <v>70.076263281098662</v>
      </c>
      <c r="F1247">
        <v>5.8200822436420209E-4</v>
      </c>
      <c r="H1247">
        <v>1.7119402135442054E-4</v>
      </c>
      <c r="J1247">
        <v>140246.1642965647</v>
      </c>
      <c r="L1247">
        <v>0.28000000000000014</v>
      </c>
      <c r="N1247">
        <v>-2.054485908471975E-4</v>
      </c>
      <c r="P1247">
        <v>1.8601014839129095E-2</v>
      </c>
      <c r="R1247">
        <v>0</v>
      </c>
    </row>
    <row r="1248" spans="1:18" x14ac:dyDescent="0.3">
      <c r="A1248">
        <v>0.27500000000000013</v>
      </c>
      <c r="B1248">
        <v>4.4000000000000002E-6</v>
      </c>
      <c r="D1248">
        <v>70.076263281098662</v>
      </c>
      <c r="F1248">
        <v>5.8200822436420253E-4</v>
      </c>
      <c r="H1248">
        <v>1.7119402135442067E-4</v>
      </c>
      <c r="J1248">
        <v>140246.16429656459</v>
      </c>
      <c r="L1248">
        <v>0.27500000000000013</v>
      </c>
      <c r="N1248">
        <v>-2.0253854972537648E-4</v>
      </c>
      <c r="P1248">
        <v>1.8295207044600022E-2</v>
      </c>
      <c r="R1248">
        <v>0</v>
      </c>
    </row>
    <row r="1249" spans="1:18" x14ac:dyDescent="0.3">
      <c r="A1249">
        <v>0.27000000000000013</v>
      </c>
      <c r="B1249">
        <v>4.4000000000000002E-6</v>
      </c>
      <c r="D1249">
        <v>70.076263281098662</v>
      </c>
      <c r="F1249">
        <v>5.8200822436420339E-4</v>
      </c>
      <c r="H1249">
        <v>1.7119402135442095E-4</v>
      </c>
      <c r="J1249">
        <v>140246.16429656438</v>
      </c>
      <c r="L1249">
        <v>0.27000000000000013</v>
      </c>
      <c r="N1249">
        <v>-1.9962850860355546E-4</v>
      </c>
      <c r="P1249">
        <v>1.7988954089548995E-2</v>
      </c>
      <c r="R1249">
        <v>0</v>
      </c>
    </row>
    <row r="1250" spans="1:18" x14ac:dyDescent="0.3">
      <c r="A1250">
        <v>0.26500000000000012</v>
      </c>
      <c r="B1250">
        <v>4.4000000000000002E-6</v>
      </c>
      <c r="D1250">
        <v>70.076263281098662</v>
      </c>
      <c r="F1250">
        <v>5.8200822436420502E-4</v>
      </c>
      <c r="H1250">
        <v>1.7119402135442143E-4</v>
      </c>
      <c r="J1250">
        <v>140246.16429656398</v>
      </c>
      <c r="L1250">
        <v>0.26500000000000012</v>
      </c>
      <c r="N1250">
        <v>-1.9671846748173444E-4</v>
      </c>
      <c r="P1250">
        <v>1.7682247063157124E-2</v>
      </c>
      <c r="R1250">
        <v>0</v>
      </c>
    </row>
    <row r="1251" spans="1:18" x14ac:dyDescent="0.3">
      <c r="A1251">
        <v>0.26000000000000012</v>
      </c>
      <c r="B1251">
        <v>4.4000000000000002E-6</v>
      </c>
      <c r="D1251">
        <v>70.076263281098662</v>
      </c>
      <c r="F1251">
        <v>5.8200822436420827E-4</v>
      </c>
      <c r="H1251">
        <v>1.7119402135442238E-4</v>
      </c>
      <c r="J1251">
        <v>140246.16429656319</v>
      </c>
      <c r="L1251">
        <v>0.26000000000000012</v>
      </c>
      <c r="N1251">
        <v>-1.9380842635991342E-4</v>
      </c>
      <c r="P1251">
        <v>1.7375076704573448E-2</v>
      </c>
      <c r="R1251">
        <v>0</v>
      </c>
    </row>
    <row r="1252" spans="1:18" x14ac:dyDescent="0.3">
      <c r="A1252">
        <v>0.25500000000000012</v>
      </c>
      <c r="B1252">
        <v>4.4000000000000002E-6</v>
      </c>
      <c r="D1252">
        <v>70.076263281098662</v>
      </c>
      <c r="F1252">
        <v>5.8200822436421499E-4</v>
      </c>
      <c r="H1252">
        <v>1.7119402135442436E-4</v>
      </c>
      <c r="J1252">
        <v>140246.16429656159</v>
      </c>
      <c r="L1252">
        <v>0.25500000000000012</v>
      </c>
      <c r="N1252">
        <v>-1.9089838523809238E-4</v>
      </c>
      <c r="P1252">
        <v>1.7067433382161417E-2</v>
      </c>
      <c r="R1252">
        <v>0</v>
      </c>
    </row>
    <row r="1253" spans="1:18" x14ac:dyDescent="0.3">
      <c r="A1253">
        <v>0.25000000000000011</v>
      </c>
      <c r="B1253">
        <v>4.4000000000000002E-6</v>
      </c>
      <c r="D1253">
        <v>70.076263281098662</v>
      </c>
      <c r="F1253">
        <v>5.8200822436422833E-4</v>
      </c>
      <c r="H1253">
        <v>1.7119402135442826E-4</v>
      </c>
      <c r="J1253">
        <v>140246.16429655839</v>
      </c>
      <c r="L1253">
        <v>0.25000000000000011</v>
      </c>
      <c r="N1253">
        <v>-1.879883441162713E-4</v>
      </c>
      <c r="P1253">
        <v>1.6759307071083304E-2</v>
      </c>
      <c r="R1253">
        <v>0</v>
      </c>
    </row>
    <row r="1254" spans="1:18" x14ac:dyDescent="0.3">
      <c r="A1254">
        <v>0.24500000000000013</v>
      </c>
      <c r="B1254">
        <v>4.4000000000000002E-6</v>
      </c>
      <c r="D1254">
        <v>70.076263281098662</v>
      </c>
      <c r="F1254">
        <v>5.82008224364255E-4</v>
      </c>
      <c r="H1254">
        <v>1.7119402135443612E-4</v>
      </c>
      <c r="J1254">
        <v>140246.16429655196</v>
      </c>
      <c r="L1254">
        <v>0.24500000000000013</v>
      </c>
      <c r="N1254">
        <v>-1.8507830299445017E-4</v>
      </c>
      <c r="P1254">
        <v>1.6450687329053488E-2</v>
      </c>
      <c r="R1254">
        <v>0</v>
      </c>
    </row>
    <row r="1255" spans="1:18" x14ac:dyDescent="0.3">
      <c r="A1255">
        <v>0.24000000000000013</v>
      </c>
      <c r="B1255">
        <v>4.4000000000000002E-6</v>
      </c>
      <c r="D1255">
        <v>70.076263281098662</v>
      </c>
      <c r="F1255">
        <v>5.8200822436430834E-4</v>
      </c>
      <c r="H1255">
        <v>1.7119402135445182E-4</v>
      </c>
      <c r="J1255">
        <v>140246.16429653909</v>
      </c>
      <c r="L1255">
        <v>0.24000000000000013</v>
      </c>
      <c r="N1255">
        <v>-1.8216826187262891E-4</v>
      </c>
      <c r="P1255">
        <v>1.6141563270070467E-2</v>
      </c>
      <c r="R1255">
        <v>0</v>
      </c>
    </row>
    <row r="1256" spans="1:18" x14ac:dyDescent="0.3">
      <c r="A1256">
        <v>0.23500000000000013</v>
      </c>
      <c r="B1256">
        <v>4.4000000000000002E-6</v>
      </c>
      <c r="D1256">
        <v>70.076263281098662</v>
      </c>
      <c r="F1256">
        <v>5.8200822436441514E-4</v>
      </c>
      <c r="H1256">
        <v>1.7119402135448323E-4</v>
      </c>
      <c r="J1256">
        <v>140246.16429651337</v>
      </c>
      <c r="L1256">
        <v>0.23500000000000013</v>
      </c>
      <c r="N1256">
        <v>-1.7925822075080737E-4</v>
      </c>
      <c r="P1256">
        <v>1.5831923535913485E-2</v>
      </c>
      <c r="R1256">
        <v>0</v>
      </c>
    </row>
    <row r="1257" spans="1:18" x14ac:dyDescent="0.3">
      <c r="A1257">
        <v>0.23000000000000012</v>
      </c>
      <c r="B1257">
        <v>4.4000000000000002E-6</v>
      </c>
      <c r="D1257">
        <v>70.076263281098662</v>
      </c>
      <c r="F1257">
        <v>5.8200822436462851E-4</v>
      </c>
      <c r="H1257">
        <v>1.7119402135454598E-4</v>
      </c>
      <c r="J1257">
        <v>140246.16429646194</v>
      </c>
      <c r="L1257">
        <v>0.23000000000000012</v>
      </c>
      <c r="N1257">
        <v>-1.763481796289853E-4</v>
      </c>
      <c r="P1257">
        <v>1.5521756265161916E-2</v>
      </c>
      <c r="R1257">
        <v>0</v>
      </c>
    </row>
    <row r="1258" spans="1:18" x14ac:dyDescent="0.3">
      <c r="A1258">
        <v>0.22500000000000012</v>
      </c>
      <c r="B1258">
        <v>4.4000000000000002E-6</v>
      </c>
      <c r="D1258">
        <v>70.076263281098662</v>
      </c>
      <c r="F1258">
        <v>5.8200822436505558E-4</v>
      </c>
      <c r="H1258">
        <v>1.7119402135467161E-4</v>
      </c>
      <c r="J1258">
        <v>140246.16429635906</v>
      </c>
      <c r="L1258">
        <v>0.22500000000000012</v>
      </c>
      <c r="N1258">
        <v>-1.7343813850716216E-4</v>
      </c>
      <c r="P1258">
        <v>1.5211049059463272E-2</v>
      </c>
      <c r="R1258">
        <v>0</v>
      </c>
    </row>
    <row r="1259" spans="1:18" x14ac:dyDescent="0.3">
      <c r="A1259">
        <v>0.22000000000000011</v>
      </c>
      <c r="B1259">
        <v>4.4000000000000002E-6</v>
      </c>
      <c r="D1259">
        <v>70.076263281098662</v>
      </c>
      <c r="F1259">
        <v>5.8200822436590982E-4</v>
      </c>
      <c r="H1259">
        <v>1.7119402135492288E-4</v>
      </c>
      <c r="J1259">
        <v>140246.16429615326</v>
      </c>
      <c r="L1259">
        <v>0.22000000000000011</v>
      </c>
      <c r="N1259">
        <v>-1.7052809738533689E-4</v>
      </c>
      <c r="P1259">
        <v>1.4899788946739044E-2</v>
      </c>
      <c r="R1259">
        <v>0</v>
      </c>
    </row>
    <row r="1260" spans="1:18" x14ac:dyDescent="0.3">
      <c r="A1260">
        <v>0.21500000000000011</v>
      </c>
      <c r="B1260">
        <v>4.4000000000000002E-6</v>
      </c>
      <c r="D1260">
        <v>70.076263281098662</v>
      </c>
      <c r="F1260">
        <v>5.8200822436761874E-4</v>
      </c>
      <c r="H1260">
        <v>1.7119402135542554E-4</v>
      </c>
      <c r="J1260">
        <v>140246.16429574159</v>
      </c>
      <c r="L1260">
        <v>0.21500000000000011</v>
      </c>
      <c r="N1260">
        <v>-1.6761805626350733E-4</v>
      </c>
      <c r="P1260">
        <v>1.4587962340974177E-2</v>
      </c>
      <c r="R1260">
        <v>0</v>
      </c>
    </row>
    <row r="1261" spans="1:18" x14ac:dyDescent="0.3">
      <c r="A1261">
        <v>0.2100000000000001</v>
      </c>
      <c r="B1261">
        <v>4.4000000000000002E-6</v>
      </c>
      <c r="D1261">
        <v>70.076263281098662</v>
      </c>
      <c r="F1261">
        <v>5.8200822437103734E-4</v>
      </c>
      <c r="H1261">
        <v>1.7119402135643111E-4</v>
      </c>
      <c r="J1261">
        <v>140246.16429491801</v>
      </c>
      <c r="L1261">
        <v>0.2100000000000001</v>
      </c>
      <c r="N1261">
        <v>-1.6470801514166923E-4</v>
      </c>
      <c r="P1261">
        <v>1.4275554998186115E-2</v>
      </c>
      <c r="R1261">
        <v>0</v>
      </c>
    </row>
    <row r="1262" spans="1:18" x14ac:dyDescent="0.3">
      <c r="A1262">
        <v>0.2050000000000001</v>
      </c>
      <c r="B1262">
        <v>4.4000000000000002E-6</v>
      </c>
      <c r="D1262">
        <v>70.076263281098662</v>
      </c>
      <c r="F1262">
        <v>5.820082243778767E-4</v>
      </c>
      <c r="H1262">
        <v>1.7119402135844285E-4</v>
      </c>
      <c r="J1262">
        <v>140246.16429327041</v>
      </c>
      <c r="L1262">
        <v>0.2050000000000001</v>
      </c>
      <c r="N1262">
        <v>-1.6179797401981403E-4</v>
      </c>
      <c r="P1262">
        <v>1.3962551968110536E-2</v>
      </c>
      <c r="R1262">
        <v>0</v>
      </c>
    </row>
    <row r="1263" spans="1:18" x14ac:dyDescent="0.3">
      <c r="A1263">
        <v>0.20000000000000009</v>
      </c>
      <c r="B1263">
        <v>4.4000000000000002E-6</v>
      </c>
      <c r="D1263">
        <v>70.076263281098662</v>
      </c>
      <c r="F1263">
        <v>5.820082243915589E-4</v>
      </c>
      <c r="H1263">
        <v>1.7119402136246738E-4</v>
      </c>
      <c r="J1263">
        <v>140246.16428997429</v>
      </c>
      <c r="L1263">
        <v>0.20000000000000009</v>
      </c>
      <c r="N1263">
        <v>-1.5888793289792465E-4</v>
      </c>
      <c r="P1263">
        <v>1.3648937541072352E-2</v>
      </c>
      <c r="R1263">
        <v>0</v>
      </c>
    </row>
    <row r="1264" spans="1:18" x14ac:dyDescent="0.3">
      <c r="A1264">
        <v>0.19500000000000009</v>
      </c>
      <c r="B1264">
        <v>4.4000000000000002E-6</v>
      </c>
      <c r="D1264">
        <v>70.076263281098662</v>
      </c>
      <c r="F1264">
        <v>5.8200822441893077E-4</v>
      </c>
      <c r="H1264">
        <v>1.7119402137051864E-4</v>
      </c>
      <c r="J1264">
        <v>140246.16428338026</v>
      </c>
      <c r="L1264">
        <v>0.19500000000000009</v>
      </c>
      <c r="N1264">
        <v>-1.5597789177596686E-4</v>
      </c>
      <c r="P1264">
        <v>1.3334695189429452E-2</v>
      </c>
      <c r="R1264">
        <v>0</v>
      </c>
    </row>
    <row r="1265" spans="1:18" x14ac:dyDescent="0.3">
      <c r="A1265">
        <v>0.19000000000000009</v>
      </c>
      <c r="B1265">
        <v>4.4000000000000002E-6</v>
      </c>
      <c r="D1265">
        <v>70.076263281098662</v>
      </c>
      <c r="F1265">
        <v>5.8200822447368906E-4</v>
      </c>
      <c r="H1265">
        <v>1.7119402138662546E-4</v>
      </c>
      <c r="J1265">
        <v>140246.16427018869</v>
      </c>
      <c r="L1265">
        <v>0.19000000000000009</v>
      </c>
      <c r="N1265">
        <v>-1.5306785065387222E-4</v>
      </c>
      <c r="P1265">
        <v>1.3019807502881205E-2</v>
      </c>
      <c r="R1265">
        <v>0</v>
      </c>
    </row>
    <row r="1266" spans="1:18" x14ac:dyDescent="0.3">
      <c r="A1266">
        <v>0.18500000000000008</v>
      </c>
      <c r="B1266">
        <v>4.4000000000000002E-6</v>
      </c>
      <c r="D1266">
        <v>70.076263281098662</v>
      </c>
      <c r="F1266">
        <v>5.8200822458323478E-4</v>
      </c>
      <c r="H1266">
        <v>1.7119402141884763E-4</v>
      </c>
      <c r="J1266">
        <v>140246.16424379856</v>
      </c>
      <c r="L1266">
        <v>0.18500000000000008</v>
      </c>
      <c r="N1266">
        <v>-1.5015780953150378E-4</v>
      </c>
      <c r="P1266">
        <v>1.2704256116820004E-2</v>
      </c>
      <c r="R1266">
        <v>0</v>
      </c>
    </row>
    <row r="1267" spans="1:18" x14ac:dyDescent="0.3">
      <c r="A1267">
        <v>0.18000000000000008</v>
      </c>
      <c r="B1267">
        <v>4.4000000000000002E-6</v>
      </c>
      <c r="D1267">
        <v>70.076263281098662</v>
      </c>
      <c r="F1267">
        <v>5.8200822480238446E-4</v>
      </c>
      <c r="H1267">
        <v>1.7119402148330911E-4</v>
      </c>
      <c r="J1267">
        <v>140246.16419100427</v>
      </c>
      <c r="L1267">
        <v>0.18000000000000008</v>
      </c>
      <c r="N1267">
        <v>-1.4724776840858761E-4</v>
      </c>
      <c r="P1267">
        <v>1.2388021632769185E-2</v>
      </c>
      <c r="R1267">
        <v>0</v>
      </c>
    </row>
    <row r="1268" spans="1:18" x14ac:dyDescent="0.3">
      <c r="A1268">
        <v>0.17500000000000007</v>
      </c>
      <c r="B1268">
        <v>4.4000000000000002E-6</v>
      </c>
      <c r="D1268">
        <v>70.076263281098662</v>
      </c>
      <c r="F1268">
        <v>5.8200822524080047E-4</v>
      </c>
      <c r="H1268">
        <v>1.7119402161226642E-4</v>
      </c>
      <c r="J1268">
        <v>140246.16408538751</v>
      </c>
      <c r="L1268">
        <v>0.17500000000000007</v>
      </c>
      <c r="N1268">
        <v>-1.4433772728457569E-4</v>
      </c>
      <c r="P1268">
        <v>1.2071083529788432E-2</v>
      </c>
      <c r="R1268">
        <v>0</v>
      </c>
    </row>
    <row r="1269" spans="1:18" x14ac:dyDescent="0.3">
      <c r="A1269">
        <v>0.17000000000000007</v>
      </c>
      <c r="B1269">
        <v>4.4000000000000002E-6</v>
      </c>
      <c r="D1269">
        <v>70.076263281098662</v>
      </c>
      <c r="F1269">
        <v>5.8200822611786593E-4</v>
      </c>
      <c r="H1269">
        <v>1.7119402187024964E-4</v>
      </c>
      <c r="J1269">
        <v>140246.16387409787</v>
      </c>
      <c r="L1269">
        <v>0.17000000000000007</v>
      </c>
      <c r="N1269">
        <v>-1.414276861583717E-4</v>
      </c>
      <c r="P1269">
        <v>1.17534200655333E-2</v>
      </c>
      <c r="R1269">
        <v>0</v>
      </c>
    </row>
    <row r="1270" spans="1:18" x14ac:dyDescent="0.3">
      <c r="A1270">
        <v>0.16500000000000006</v>
      </c>
      <c r="B1270">
        <v>4.4000000000000002E-6</v>
      </c>
      <c r="D1270">
        <v>70.076263281098662</v>
      </c>
      <c r="F1270">
        <v>5.8200822787246402E-4</v>
      </c>
      <c r="H1270">
        <v>1.7119402238635351E-4</v>
      </c>
      <c r="J1270">
        <v>140246.16345140603</v>
      </c>
      <c r="L1270">
        <v>0.16500000000000006</v>
      </c>
      <c r="N1270">
        <v>-1.3851764502778236E-4</v>
      </c>
      <c r="P1270">
        <v>1.1435008165419947E-2</v>
      </c>
      <c r="R1270">
        <v>0</v>
      </c>
    </row>
    <row r="1271" spans="1:18" x14ac:dyDescent="0.3">
      <c r="A1271">
        <v>0.16000000000000006</v>
      </c>
      <c r="B1271">
        <v>4.4000000000000002E-6</v>
      </c>
      <c r="D1271">
        <v>70.076263281098662</v>
      </c>
      <c r="F1271">
        <v>5.820082313825949E-4</v>
      </c>
      <c r="H1271">
        <v>1.7119402341883621E-4</v>
      </c>
      <c r="J1271">
        <v>140246.16260579717</v>
      </c>
      <c r="L1271">
        <v>0.16000000000000006</v>
      </c>
      <c r="N1271">
        <v>-1.3560760388842003E-4</v>
      </c>
      <c r="P1271">
        <v>1.1115823298060275E-2</v>
      </c>
      <c r="R1271">
        <v>0</v>
      </c>
    </row>
    <row r="1272" spans="1:18" x14ac:dyDescent="0.3">
      <c r="A1272">
        <v>0.15500000000000005</v>
      </c>
      <c r="B1272">
        <v>4.4000000000000002E-6</v>
      </c>
      <c r="D1272">
        <v>70.076263281098662</v>
      </c>
      <c r="F1272">
        <v>5.8200823840472637E-4</v>
      </c>
      <c r="H1272">
        <v>1.7119402548435158E-4</v>
      </c>
      <c r="J1272">
        <v>140246.16091412905</v>
      </c>
      <c r="L1272">
        <v>0.15500000000000005</v>
      </c>
      <c r="N1272">
        <v>-1.3269756273150704E-4</v>
      </c>
      <c r="P1272">
        <v>1.0795839334783262E-2</v>
      </c>
      <c r="R1272">
        <v>0</v>
      </c>
    </row>
    <row r="1273" spans="1:18" x14ac:dyDescent="0.3">
      <c r="A1273">
        <v>0.15000000000000005</v>
      </c>
      <c r="B1273">
        <v>4.4000000000000002E-6</v>
      </c>
      <c r="D1273">
        <v>70.076263281098662</v>
      </c>
      <c r="F1273">
        <v>5.820082524527298E-4</v>
      </c>
      <c r="H1273">
        <v>1.7119402961648253E-4</v>
      </c>
      <c r="J1273">
        <v>140246.15752989182</v>
      </c>
      <c r="L1273">
        <v>0.15000000000000005</v>
      </c>
      <c r="N1273">
        <v>-1.2978752153948342E-4</v>
      </c>
      <c r="P1273">
        <v>1.0475028390628832E-2</v>
      </c>
      <c r="R1273">
        <v>0</v>
      </c>
    </row>
    <row r="1274" spans="1:18" x14ac:dyDescent="0.3">
      <c r="A1274">
        <v>0.14500000000000005</v>
      </c>
      <c r="B1274">
        <v>4.4000000000000002E-6</v>
      </c>
      <c r="D1274">
        <v>70.076263281098662</v>
      </c>
      <c r="F1274">
        <v>5.8200828055622014E-4</v>
      </c>
      <c r="H1274">
        <v>1.7119403788294567E-4</v>
      </c>
      <c r="J1274">
        <v>140246.15075961503</v>
      </c>
      <c r="L1274">
        <v>0.14500000000000005</v>
      </c>
      <c r="N1274">
        <v>-1.2687748027721978E-4</v>
      </c>
      <c r="P1274">
        <v>1.0153360643669573E-2</v>
      </c>
      <c r="R1274">
        <v>0</v>
      </c>
    </row>
    <row r="1275" spans="1:18" x14ac:dyDescent="0.3">
      <c r="A1275">
        <v>0.14000000000000004</v>
      </c>
      <c r="B1275">
        <v>4.4000000000000002E-6</v>
      </c>
      <c r="D1275">
        <v>70.076263281098662</v>
      </c>
      <c r="F1275">
        <v>5.820083367781741E-4</v>
      </c>
      <c r="H1275">
        <v>1.7119405442027617E-4</v>
      </c>
      <c r="J1275">
        <v>140246.13721545637</v>
      </c>
      <c r="L1275">
        <v>0.14000000000000004</v>
      </c>
      <c r="N1275">
        <v>-1.2396743887443869E-4</v>
      </c>
      <c r="P1275">
        <v>9.8308041288546928E-3</v>
      </c>
      <c r="R1275">
        <v>0</v>
      </c>
    </row>
    <row r="1276" spans="1:18" x14ac:dyDescent="0.3">
      <c r="A1276">
        <v>0.13500000000000004</v>
      </c>
      <c r="B1276">
        <v>4.4000000000000002E-6</v>
      </c>
      <c r="D1276">
        <v>70.076263281098662</v>
      </c>
      <c r="F1276">
        <v>5.8200844925204395E-4</v>
      </c>
      <c r="H1276">
        <v>1.7119408750375039E-4</v>
      </c>
      <c r="J1276">
        <v>140246.11011992875</v>
      </c>
      <c r="L1276">
        <v>0.13500000000000004</v>
      </c>
      <c r="N1276">
        <v>-1.2105739719054783E-4</v>
      </c>
      <c r="P1276">
        <v>9.507324501741854E-3</v>
      </c>
      <c r="R1276">
        <v>0</v>
      </c>
    </row>
    <row r="1277" spans="1:18" x14ac:dyDescent="0.3">
      <c r="A1277">
        <v>0.13000000000000003</v>
      </c>
      <c r="B1277">
        <v>4.4000000000000002E-6</v>
      </c>
      <c r="D1277">
        <v>70.076263281098662</v>
      </c>
      <c r="F1277">
        <v>5.8200867425975682E-4</v>
      </c>
      <c r="H1277">
        <v>1.7119415368833954E-4</v>
      </c>
      <c r="J1277">
        <v>140246.05591445722</v>
      </c>
      <c r="L1277">
        <v>0.13000000000000003</v>
      </c>
      <c r="N1277">
        <v>-1.181473549442876E-4</v>
      </c>
      <c r="P1277">
        <v>9.1828847664359552E-3</v>
      </c>
      <c r="R1277">
        <v>0</v>
      </c>
    </row>
    <row r="1278" spans="1:18" x14ac:dyDescent="0.3">
      <c r="A1278">
        <v>0.12500000000000003</v>
      </c>
      <c r="B1278">
        <v>4.4000000000000002E-6</v>
      </c>
      <c r="D1278">
        <v>70.076263281098662</v>
      </c>
      <c r="F1278">
        <v>5.8200912439529157E-4</v>
      </c>
      <c r="H1278">
        <v>1.7119428609284709E-4</v>
      </c>
      <c r="J1278">
        <v>140245.94747470506</v>
      </c>
      <c r="L1278">
        <v>0.12500000000000003</v>
      </c>
      <c r="N1278">
        <v>-1.1523731157298883E-4</v>
      </c>
      <c r="P1278">
        <v>8.8574449607214788E-3</v>
      </c>
      <c r="R1278">
        <v>0</v>
      </c>
    </row>
    <row r="1279" spans="1:18" x14ac:dyDescent="0.3">
      <c r="A1279">
        <v>0.12000000000000004</v>
      </c>
      <c r="B1279">
        <v>4.4000000000000002E-6</v>
      </c>
      <c r="D1279">
        <v>70.076263281098662</v>
      </c>
      <c r="F1279">
        <v>5.8201002490716541E-4</v>
      </c>
      <c r="H1279">
        <v>1.7119455097269331E-4</v>
      </c>
      <c r="J1279">
        <v>140245.73053769325</v>
      </c>
      <c r="L1279">
        <v>0.12000000000000004</v>
      </c>
      <c r="N1279">
        <v>-1.1232726595101236E-4</v>
      </c>
      <c r="P1279">
        <v>8.5309617896637147E-3</v>
      </c>
      <c r="R1279">
        <v>0</v>
      </c>
    </row>
    <row r="1280" spans="1:18" x14ac:dyDescent="0.3">
      <c r="A1280">
        <v>0.11500000000000003</v>
      </c>
      <c r="B1280">
        <v>4.4000000000000002E-6</v>
      </c>
      <c r="D1280">
        <v>70.076263281098662</v>
      </c>
      <c r="F1280">
        <v>5.8201182641474318E-4</v>
      </c>
      <c r="H1280">
        <v>1.7119508087470127E-4</v>
      </c>
      <c r="J1280">
        <v>140245.29654912779</v>
      </c>
      <c r="L1280">
        <v>0.11500000000000003</v>
      </c>
      <c r="N1280">
        <v>-1.0941721582647654E-4</v>
      </c>
      <c r="P1280">
        <v>8.2033881967363883E-3</v>
      </c>
      <c r="R1280">
        <v>0</v>
      </c>
    </row>
    <row r="1281" spans="1:18" x14ac:dyDescent="0.3">
      <c r="A1281">
        <v>0.11000000000000003</v>
      </c>
      <c r="B1281">
        <v>4.4000000000000002E-6</v>
      </c>
      <c r="D1281">
        <v>70.076263281098662</v>
      </c>
      <c r="F1281">
        <v>5.8201543040619188E-4</v>
      </c>
      <c r="H1281">
        <v>1.711961409658876E-4</v>
      </c>
      <c r="J1281">
        <v>140244.42834486804</v>
      </c>
      <c r="L1281">
        <v>0.11000000000000003</v>
      </c>
      <c r="N1281">
        <v>-1.0650715669440282E-4</v>
      </c>
      <c r="P1281">
        <v>7.8746728586301089E-3</v>
      </c>
      <c r="R1281">
        <v>0</v>
      </c>
    </row>
    <row r="1282" spans="1:18" x14ac:dyDescent="0.3">
      <c r="A1282">
        <v>0.10500000000000002</v>
      </c>
      <c r="B1282">
        <v>4.4000000000000002E-6</v>
      </c>
      <c r="D1282">
        <v>70.076263281098662</v>
      </c>
      <c r="F1282">
        <v>5.8202264037571672E-4</v>
      </c>
      <c r="H1282">
        <v>1.7119826173261413E-4</v>
      </c>
      <c r="J1282">
        <v>140242.6914900385</v>
      </c>
      <c r="L1282">
        <v>0.10500000000000002</v>
      </c>
      <c r="N1282">
        <v>-1.0359707954237185E-4</v>
      </c>
      <c r="P1282">
        <v>7.5447595860544496E-3</v>
      </c>
      <c r="R1282">
        <v>0</v>
      </c>
    </row>
    <row r="1283" spans="1:18" x14ac:dyDescent="0.3">
      <c r="A1283">
        <v>0.10000000000000002</v>
      </c>
      <c r="B1283">
        <v>4.4000000000000002E-6</v>
      </c>
      <c r="D1283">
        <v>70.076263281098662</v>
      </c>
      <c r="F1283">
        <v>5.8203706442323615E-4</v>
      </c>
      <c r="H1283">
        <v>1.712025044745475E-4</v>
      </c>
      <c r="J1283">
        <v>140239.21691981168</v>
      </c>
      <c r="L1283">
        <v>0.10000000000000002</v>
      </c>
      <c r="N1283">
        <v>-1.0068696634049327E-4</v>
      </c>
      <c r="P1283">
        <v>7.2135866077044763E-3</v>
      </c>
      <c r="R1283">
        <v>0</v>
      </c>
    </row>
    <row r="1284" spans="1:18" x14ac:dyDescent="0.3">
      <c r="A1284">
        <v>9.5000000000000015E-2</v>
      </c>
      <c r="B1284">
        <v>4.4000000000000002E-6</v>
      </c>
      <c r="D1284">
        <v>70.076263281098662</v>
      </c>
      <c r="F1284">
        <v>5.8206592127434207E-4</v>
      </c>
      <c r="H1284">
        <v>1.7121099253395567E-4</v>
      </c>
      <c r="J1284">
        <v>140232.26618698778</v>
      </c>
      <c r="L1284">
        <v>9.5000000000000015E-2</v>
      </c>
      <c r="N1284">
        <v>-9.7776781018377081E-5</v>
      </c>
      <c r="P1284">
        <v>6.8810857075909237E-3</v>
      </c>
      <c r="R1284">
        <v>0</v>
      </c>
    </row>
    <row r="1285" spans="1:18" x14ac:dyDescent="0.3">
      <c r="A1285">
        <v>9.0000000000000011E-2</v>
      </c>
      <c r="B1285">
        <v>4.4000000000000002E-6</v>
      </c>
      <c r="D1285">
        <v>70.076263281098662</v>
      </c>
      <c r="F1285">
        <v>5.8212365464243611E-4</v>
      </c>
      <c r="H1285">
        <v>1.7122797443736631E-4</v>
      </c>
      <c r="J1285">
        <v>140218.36205287572</v>
      </c>
      <c r="L1285">
        <v>9.0000000000000011E-2</v>
      </c>
      <c r="N1285">
        <v>-9.4866451412005374E-5</v>
      </c>
      <c r="P1285">
        <v>6.5471811763508341E-3</v>
      </c>
      <c r="R1285">
        <v>0</v>
      </c>
    </row>
    <row r="1286" spans="1:18" x14ac:dyDescent="0.3">
      <c r="A1286">
        <v>8.5000000000000006E-2</v>
      </c>
      <c r="B1286">
        <v>4.4000000000000002E-6</v>
      </c>
      <c r="D1286">
        <v>70.076263281098662</v>
      </c>
      <c r="F1286">
        <v>5.8223916932327536E-4</v>
      </c>
      <c r="H1286">
        <v>1.7126195234680211E-4</v>
      </c>
      <c r="J1286">
        <v>140190.5505155432</v>
      </c>
      <c r="L1286">
        <v>8.5000000000000006E-2</v>
      </c>
      <c r="N1286">
        <v>-9.1955833138793194E-5</v>
      </c>
      <c r="P1286">
        <v>6.2117885237824083E-3</v>
      </c>
      <c r="R1286">
        <v>0</v>
      </c>
    </row>
    <row r="1287" spans="1:18" x14ac:dyDescent="0.3">
      <c r="A1287">
        <v>0.08</v>
      </c>
      <c r="B1287">
        <v>4.4000000000000002E-6</v>
      </c>
      <c r="D1287">
        <v>70.076263281098662</v>
      </c>
      <c r="F1287">
        <v>5.8247032903973488E-4</v>
      </c>
      <c r="H1287">
        <v>1.7132994650870435E-4</v>
      </c>
      <c r="J1287">
        <v>140134.92917942212</v>
      </c>
      <c r="L1287">
        <v>0.08</v>
      </c>
      <c r="N1287">
        <v>-8.9044637292176818E-5</v>
      </c>
      <c r="P1287">
        <v>5.8748128808711036E-3</v>
      </c>
      <c r="R1287">
        <v>0</v>
      </c>
    </row>
    <row r="1288" spans="1:18" x14ac:dyDescent="0.3">
      <c r="A1288">
        <v>7.4999999999999997E-2</v>
      </c>
      <c r="B1288">
        <v>4.4000000000000002E-6</v>
      </c>
      <c r="D1288">
        <v>70.076263281098662</v>
      </c>
      <c r="F1288">
        <v>5.8293304718063494E-4</v>
      </c>
      <c r="H1288">
        <v>1.7146605210992822E-4</v>
      </c>
      <c r="J1288">
        <v>140023.72309384763</v>
      </c>
      <c r="L1288">
        <v>7.4999999999999997E-2</v>
      </c>
      <c r="N1288">
        <v>-8.6132285646978139E-5</v>
      </c>
      <c r="P1288">
        <v>5.5361469921436568E-3</v>
      </c>
      <c r="R1288">
        <v>0</v>
      </c>
    </row>
    <row r="1289" spans="1:18" x14ac:dyDescent="0.3">
      <c r="A1289">
        <v>6.9999999999999993E-2</v>
      </c>
      <c r="B1289">
        <v>4.4000000000000002E-6</v>
      </c>
      <c r="D1289">
        <v>70.076263281098662</v>
      </c>
      <c r="F1289">
        <v>5.8385983386856051E-4</v>
      </c>
      <c r="H1289">
        <v>1.7173866052575782E-4</v>
      </c>
      <c r="J1289">
        <v>139801.51643674914</v>
      </c>
      <c r="L1289">
        <v>6.9999999999999993E-2</v>
      </c>
      <c r="N1289">
        <v>-8.3217620411074958E-5</v>
      </c>
      <c r="P1289">
        <v>5.1956686587123551E-3</v>
      </c>
      <c r="R1289">
        <v>0</v>
      </c>
    </row>
    <row r="1290" spans="1:18" x14ac:dyDescent="0.3">
      <c r="A1290">
        <v>6.4999999999999988E-2</v>
      </c>
      <c r="B1290">
        <v>4.4000000000000002E-6</v>
      </c>
      <c r="D1290">
        <v>70.076263281098662</v>
      </c>
      <c r="F1290">
        <v>5.8571832722419689E-4</v>
      </c>
      <c r="H1290">
        <v>1.722853245382113E-4</v>
      </c>
      <c r="J1290">
        <v>139358.04235687145</v>
      </c>
      <c r="L1290">
        <v>6.4999999999999988E-2</v>
      </c>
      <c r="N1290">
        <v>-8.0298321241732159E-5</v>
      </c>
      <c r="P1290">
        <v>4.8532374312595401E-3</v>
      </c>
      <c r="R1290">
        <v>0</v>
      </c>
    </row>
    <row r="1291" spans="1:18" x14ac:dyDescent="0.3">
      <c r="A1291">
        <v>5.9999999999999991E-2</v>
      </c>
      <c r="B1291">
        <v>4.4000000000000002E-6</v>
      </c>
      <c r="D1291">
        <v>70.076263281098662</v>
      </c>
      <c r="F1291">
        <v>5.894540845207012E-4</v>
      </c>
      <c r="H1291">
        <v>1.733841738115035E-4</v>
      </c>
      <c r="J1291">
        <v>138475.07494883344</v>
      </c>
      <c r="L1291">
        <v>5.9999999999999991E-2</v>
      </c>
      <c r="N1291">
        <v>-7.7369729605611168E-5</v>
      </c>
      <c r="P1291">
        <v>4.5086902575071702E-3</v>
      </c>
      <c r="R1291">
        <v>0</v>
      </c>
    </row>
    <row r="1292" spans="1:18" x14ac:dyDescent="0.3">
      <c r="A1292">
        <v>5.4999999999999993E-2</v>
      </c>
      <c r="B1292">
        <v>4.4000000000000002E-6</v>
      </c>
      <c r="D1292">
        <v>70.076263281098662</v>
      </c>
      <c r="F1292">
        <v>5.9699928029198544E-4</v>
      </c>
      <c r="H1292">
        <v>1.7560354520853761E-4</v>
      </c>
      <c r="J1292">
        <v>136725.42210554788</v>
      </c>
      <c r="L1292">
        <v>5.4999999999999993E-2</v>
      </c>
      <c r="N1292">
        <v>-7.4422459183007657E-5</v>
      </c>
      <c r="P1292">
        <v>4.1618356375455398E-3</v>
      </c>
      <c r="R1292">
        <v>0</v>
      </c>
    </row>
    <row r="1293" spans="1:18" x14ac:dyDescent="0.3">
      <c r="A1293">
        <v>4.9999999999999996E-2</v>
      </c>
      <c r="B1293">
        <v>4.4000000000000002E-6</v>
      </c>
      <c r="D1293">
        <v>70.076263281098662</v>
      </c>
      <c r="F1293">
        <v>6.123849095722155E-4</v>
      </c>
      <c r="H1293">
        <v>1.8012913030731909E-4</v>
      </c>
      <c r="J1293">
        <v>133291.24378148242</v>
      </c>
      <c r="L1293">
        <v>4.9999999999999996E-2</v>
      </c>
      <c r="N1293">
        <v>-7.143746278154773E-5</v>
      </c>
      <c r="P1293">
        <v>3.8124455907477994E-3</v>
      </c>
      <c r="R1293">
        <v>0</v>
      </c>
    </row>
    <row r="1294" spans="1:18" x14ac:dyDescent="0.3">
      <c r="A1294">
        <v>4.4999999999999998E-2</v>
      </c>
      <c r="B1294">
        <v>4.4000000000000002E-6</v>
      </c>
      <c r="D1294">
        <v>70.076263281098662</v>
      </c>
      <c r="F1294">
        <v>6.4436512755193683E-4</v>
      </c>
      <c r="H1294">
        <v>1.8953590823682386E-4</v>
      </c>
      <c r="J1294">
        <v>126677.73079514716</v>
      </c>
      <c r="L1294">
        <v>4.4999999999999998E-2</v>
      </c>
      <c r="N1294">
        <v>-6.8375538233686646E-5</v>
      </c>
      <c r="P1294">
        <v>3.4602443091133568E-3</v>
      </c>
      <c r="R1294">
        <v>0</v>
      </c>
    </row>
    <row r="1295" spans="1:18" x14ac:dyDescent="0.3">
      <c r="A1295">
        <v>0.04</v>
      </c>
      <c r="B1295">
        <v>4.4000000000000002E-6</v>
      </c>
      <c r="D1295">
        <v>70.076263281098662</v>
      </c>
      <c r="F1295">
        <v>7.134445192634129E-4</v>
      </c>
      <c r="H1295">
        <v>2.0985517240654203E-4</v>
      </c>
      <c r="J1295">
        <v>114415.58306747512</v>
      </c>
      <c r="L1295">
        <v>0.04</v>
      </c>
      <c r="N1295">
        <v>-6.5153712595926959E-5</v>
      </c>
      <c r="P1295">
        <v>3.1048916000015669E-3</v>
      </c>
      <c r="R1295">
        <v>0</v>
      </c>
    </row>
    <row r="1296" spans="1:18" x14ac:dyDescent="0.3">
      <c r="A1296">
        <v>3.5000000000000003E-2</v>
      </c>
      <c r="B1296">
        <v>4.4000000000000002E-6</v>
      </c>
      <c r="D1296">
        <v>70.076263281098662</v>
      </c>
      <c r="F1296">
        <v>8.7467284208547411E-4</v>
      </c>
      <c r="H1296">
        <v>2.5727945918580463E-4</v>
      </c>
      <c r="J1296">
        <v>93331.624183334367</v>
      </c>
      <c r="L1296">
        <v>3.5000000000000003E-2</v>
      </c>
      <c r="N1296">
        <v>-6.1586489999609901E-5</v>
      </c>
      <c r="P1296">
        <v>2.7459577525191553E-3</v>
      </c>
      <c r="R1296">
        <v>0</v>
      </c>
    </row>
    <row r="1297" spans="1:18" x14ac:dyDescent="0.3">
      <c r="A1297">
        <v>3.0000000000000002E-2</v>
      </c>
      <c r="B1297">
        <v>4.4000000000000002E-6</v>
      </c>
      <c r="D1297">
        <v>70.076263281098662</v>
      </c>
      <c r="F1297">
        <v>1.3148871088733535E-3</v>
      </c>
      <c r="H1297">
        <v>3.8676568881998533E-4</v>
      </c>
      <c r="J1297">
        <v>62095.188701010396</v>
      </c>
      <c r="L1297">
        <v>3.0000000000000002E-2</v>
      </c>
      <c r="N1297">
        <v>-5.7213125789182526E-5</v>
      </c>
      <c r="P1297">
        <v>2.3828834707442068E-3</v>
      </c>
      <c r="R1297">
        <v>0</v>
      </c>
    </row>
    <row r="1298" spans="1:18" x14ac:dyDescent="0.3">
      <c r="A1298">
        <v>2.5000000000000001E-2</v>
      </c>
      <c r="B1298">
        <v>6.8790208804318793E-6</v>
      </c>
      <c r="D1298">
        <v>28.669692388181115</v>
      </c>
      <c r="F1298">
        <v>1.9016100448750975E-3</v>
      </c>
      <c r="H1298">
        <v>8.7449007724934289E-4</v>
      </c>
      <c r="J1298">
        <v>27477.188967029371</v>
      </c>
      <c r="L1298">
        <v>2.5000000000000001E-2</v>
      </c>
      <c r="N1298">
        <v>-5.0638690244815757E-5</v>
      </c>
      <c r="P1298">
        <v>2.0149118840395571E-3</v>
      </c>
      <c r="R1298">
        <v>0</v>
      </c>
    </row>
    <row r="1299" spans="1:18" x14ac:dyDescent="0.3">
      <c r="A1299">
        <v>0.02</v>
      </c>
      <c r="B1299">
        <v>8.0239662234967532E-6</v>
      </c>
      <c r="D1299">
        <v>21.071628690632892</v>
      </c>
      <c r="F1299">
        <v>2.1815504479298499E-3</v>
      </c>
      <c r="H1299">
        <v>1.1702028398863219E-3</v>
      </c>
      <c r="J1299">
        <v>20539.045701930525</v>
      </c>
      <c r="L1299">
        <v>0.02</v>
      </c>
      <c r="N1299">
        <v>-4.1130640020440265E-5</v>
      </c>
      <c r="P1299">
        <v>1.6409632175945724E-3</v>
      </c>
      <c r="R1299">
        <v>0</v>
      </c>
    </row>
    <row r="1300" spans="1:18" x14ac:dyDescent="0.3">
      <c r="A1300">
        <v>1.4999999999999999E-2</v>
      </c>
      <c r="B1300">
        <v>8.7283223662834714E-6</v>
      </c>
      <c r="D1300">
        <v>17.80798302209163</v>
      </c>
      <c r="F1300">
        <v>2.2630972114474316E-3</v>
      </c>
      <c r="H1300">
        <v>1.320507228142428E-3</v>
      </c>
      <c r="J1300">
        <v>18203.509727959321</v>
      </c>
      <c r="L1300">
        <v>1.4999999999999999E-2</v>
      </c>
      <c r="N1300">
        <v>-3.0222887780791016E-5</v>
      </c>
      <c r="P1300">
        <v>1.2593754085660712E-3</v>
      </c>
      <c r="R1300">
        <v>0</v>
      </c>
    </row>
    <row r="1301" spans="1:18" x14ac:dyDescent="0.3">
      <c r="A1301">
        <v>0.01</v>
      </c>
      <c r="B1301">
        <v>9.2436995115026613E-6</v>
      </c>
      <c r="D1301">
        <v>15.877592446823815</v>
      </c>
      <c r="F1301">
        <v>2.1140601704511511E-3</v>
      </c>
      <c r="H1301">
        <v>1.3063813109123045E-3</v>
      </c>
      <c r="J1301">
        <v>18400.131127997862</v>
      </c>
      <c r="L1301">
        <v>0.01</v>
      </c>
      <c r="N1301">
        <v>-1.8907401723553857E-5</v>
      </c>
      <c r="P1301">
        <v>8.6726386244755636E-4</v>
      </c>
      <c r="R1301">
        <v>0</v>
      </c>
    </row>
    <row r="1302" spans="1:18" x14ac:dyDescent="0.3">
      <c r="A1302">
        <v>5.0000000000000001E-3</v>
      </c>
      <c r="B1302">
        <v>9.6548753339641656E-6</v>
      </c>
      <c r="D1302">
        <v>14.554019341045485</v>
      </c>
      <c r="F1302">
        <v>1.6674201742596206E-3</v>
      </c>
      <c r="H1302">
        <v>1.0762137034969206E-3</v>
      </c>
      <c r="J1302">
        <v>22330.97525523985</v>
      </c>
      <c r="L1302">
        <v>5.0000000000000001E-3</v>
      </c>
      <c r="N1302">
        <v>-8.3371008712981036E-6</v>
      </c>
      <c r="P1302">
        <v>4.5835677426700537E-4</v>
      </c>
      <c r="R1302">
        <v>0</v>
      </c>
    </row>
    <row r="1303" spans="1:18" x14ac:dyDescent="0.3">
      <c r="D1303">
        <v>13.566764571220702</v>
      </c>
      <c r="J1303">
        <v>37493.253315358059</v>
      </c>
    </row>
  </sheetData>
  <mergeCells count="40">
    <mergeCell ref="O5:T5"/>
    <mergeCell ref="L7:M7"/>
    <mergeCell ref="L8:M8"/>
    <mergeCell ref="L9:M9"/>
    <mergeCell ref="I6:M6"/>
    <mergeCell ref="O6:R6"/>
    <mergeCell ref="O7:R7"/>
    <mergeCell ref="O8:R8"/>
    <mergeCell ref="O9:R9"/>
    <mergeCell ref="S6:T6"/>
    <mergeCell ref="S7:T7"/>
    <mergeCell ref="S8:T8"/>
    <mergeCell ref="S9:T9"/>
    <mergeCell ref="I7:K7"/>
    <mergeCell ref="I8:K8"/>
    <mergeCell ref="I9:K9"/>
    <mergeCell ref="B13:F13"/>
    <mergeCell ref="B12:F12"/>
    <mergeCell ref="B11:F11"/>
    <mergeCell ref="B9:F9"/>
    <mergeCell ref="B8:F8"/>
    <mergeCell ref="B7:F7"/>
    <mergeCell ref="B6:G6"/>
    <mergeCell ref="A1:G3"/>
    <mergeCell ref="S15:T15"/>
    <mergeCell ref="B16:F16"/>
    <mergeCell ref="B15:F15"/>
    <mergeCell ref="B14:F14"/>
    <mergeCell ref="S10:T10"/>
    <mergeCell ref="S11:T11"/>
    <mergeCell ref="S12:T12"/>
    <mergeCell ref="S13:T13"/>
    <mergeCell ref="S14:T14"/>
    <mergeCell ref="O10:R10"/>
    <mergeCell ref="B10:F10"/>
    <mergeCell ref="O11:R11"/>
    <mergeCell ref="O12:R12"/>
    <mergeCell ref="O13:R13"/>
    <mergeCell ref="O14:R14"/>
    <mergeCell ref="O15:R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7</xdr:col>
                    <xdr:colOff>7620</xdr:colOff>
                    <xdr:row>14</xdr:row>
                    <xdr:rowOff>190500</xdr:rowOff>
                  </from>
                  <to>
                    <xdr:col>8</xdr:col>
                    <xdr:colOff>266700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7</xdr:col>
                    <xdr:colOff>30480</xdr:colOff>
                    <xdr:row>13</xdr:row>
                    <xdr:rowOff>190500</xdr:rowOff>
                  </from>
                  <to>
                    <xdr:col>8</xdr:col>
                    <xdr:colOff>266700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v">
                <anchor moveWithCells="1" sizeWithCells="1">
                  <from>
                    <xdr:col>9</xdr:col>
                    <xdr:colOff>304800</xdr:colOff>
                    <xdr:row>9</xdr:row>
                    <xdr:rowOff>190500</xdr:rowOff>
                  </from>
                  <to>
                    <xdr:col>11</xdr:col>
                    <xdr:colOff>297180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>
                <anchor moveWithCells="1">
                  <from>
                    <xdr:col>7</xdr:col>
                    <xdr:colOff>22860</xdr:colOff>
                    <xdr:row>12</xdr:row>
                    <xdr:rowOff>190500</xdr:rowOff>
                  </from>
                  <to>
                    <xdr:col>8</xdr:col>
                    <xdr:colOff>266700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s">
                <anchor moveWithCells="1" sizeWithCells="1">
                  <from>
                    <xdr:col>9</xdr:col>
                    <xdr:colOff>335280</xdr:colOff>
                    <xdr:row>12</xdr:row>
                    <xdr:rowOff>182880</xdr:rowOff>
                  </from>
                  <to>
                    <xdr:col>11</xdr:col>
                    <xdr:colOff>312420</xdr:colOff>
                    <xdr:row>14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AYUSH DWIVEDI</dc:creator>
  <cp:lastModifiedBy>Dr. Ashish Karn</cp:lastModifiedBy>
  <dcterms:created xsi:type="dcterms:W3CDTF">2020-06-02T17:45:50Z</dcterms:created>
  <dcterms:modified xsi:type="dcterms:W3CDTF">2020-06-05T07:03:27Z</dcterms:modified>
</cp:coreProperties>
</file>